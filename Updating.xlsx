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atteosancio/Documents/KO Lounge/MK8DX-Spreadsheet-Bot/"/>
    </mc:Choice>
  </mc:AlternateContent>
  <xr:revisionPtr revIDLastSave="0" documentId="13_ncr:1_{4763A3F3-E3BD-254D-9051-54A96778BA9E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1" l="1"/>
  <c r="H103" i="1"/>
  <c r="H102" i="1"/>
  <c r="H101" i="1"/>
  <c r="H100" i="1"/>
  <c r="H99" i="1"/>
  <c r="H97" i="1"/>
  <c r="H96" i="1"/>
  <c r="H95" i="1"/>
  <c r="H94" i="1"/>
  <c r="H93" i="1"/>
  <c r="H92" i="1"/>
  <c r="H87" i="1"/>
  <c r="H86" i="1"/>
  <c r="H85" i="1"/>
  <c r="H84" i="1"/>
  <c r="H82" i="1"/>
  <c r="H81" i="1"/>
  <c r="H80" i="1"/>
  <c r="H79" i="1"/>
  <c r="H77" i="1"/>
  <c r="H76" i="1"/>
  <c r="H75" i="1"/>
  <c r="H74" i="1"/>
  <c r="H69" i="1"/>
  <c r="H68" i="1"/>
  <c r="H67" i="1"/>
  <c r="H65" i="1"/>
  <c r="H64" i="1"/>
  <c r="H63" i="1"/>
  <c r="H61" i="1"/>
  <c r="H60" i="1"/>
  <c r="H59" i="1"/>
  <c r="H57" i="1"/>
  <c r="H56" i="1"/>
  <c r="H55" i="1"/>
  <c r="H50" i="1"/>
  <c r="H49" i="1"/>
  <c r="H47" i="1"/>
  <c r="H46" i="1"/>
  <c r="H44" i="1"/>
  <c r="H43" i="1"/>
  <c r="H41" i="1"/>
  <c r="H40" i="1"/>
  <c r="H38" i="1"/>
  <c r="H37" i="1"/>
  <c r="H35" i="1"/>
  <c r="H34" i="1"/>
  <c r="H29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<sst xmlns="http://schemas.openxmlformats.org/spreadsheetml/2006/main" count="117" uniqueCount="72">
  <si>
    <t>Free For All</t>
  </si>
  <si>
    <t>Tier E</t>
  </si>
  <si>
    <t>Rank</t>
  </si>
  <si>
    <t>Player</t>
  </si>
  <si>
    <t>MMR</t>
  </si>
  <si>
    <t>Change</t>
  </si>
  <si>
    <t>New MMR</t>
  </si>
  <si>
    <t>Promotions</t>
  </si>
  <si>
    <t>N/A</t>
  </si>
  <si>
    <t>moneko</t>
  </si>
  <si>
    <t>sou</t>
  </si>
  <si>
    <t>sho_chan</t>
  </si>
  <si>
    <t>asutora</t>
  </si>
  <si>
    <t>yanyanmachiko</t>
  </si>
  <si>
    <t>E1N</t>
  </si>
  <si>
    <t>Yuzu-yuzu</t>
  </si>
  <si>
    <t>Barista</t>
  </si>
  <si>
    <t>Echeve123</t>
  </si>
  <si>
    <t>vettel</t>
  </si>
  <si>
    <t>Frantzy</t>
  </si>
  <si>
    <t>masatoshi</t>
  </si>
  <si>
    <t>Races</t>
  </si>
  <si>
    <t>ID:</t>
  </si>
  <si>
    <t>2v2 Mogi</t>
  </si>
  <si>
    <t>AliceSynthesis30</t>
  </si>
  <si>
    <t>Saakun</t>
  </si>
  <si>
    <t>tamanegi</t>
  </si>
  <si>
    <t>tasuke912</t>
  </si>
  <si>
    <t>Lilycod</t>
  </si>
  <si>
    <t>kafe</t>
  </si>
  <si>
    <t>iirai</t>
  </si>
  <si>
    <t>calum93</t>
  </si>
  <si>
    <t>zionn</t>
  </si>
  <si>
    <t>3v3 Mogi</t>
  </si>
  <si>
    <t>nl</t>
  </si>
  <si>
    <t>Subarun</t>
  </si>
  <si>
    <t>yuya</t>
  </si>
  <si>
    <t>MINE98</t>
  </si>
  <si>
    <t>rentan</t>
  </si>
  <si>
    <t>uwa_puyo</t>
  </si>
  <si>
    <t>shiho</t>
  </si>
  <si>
    <t>teeemo</t>
  </si>
  <si>
    <t>sky</t>
  </si>
  <si>
    <t>gloufko</t>
  </si>
  <si>
    <t>daftcat</t>
  </si>
  <si>
    <t>4v4 Mogi</t>
  </si>
  <si>
    <t>Tier AB</t>
  </si>
  <si>
    <t>Choro9</t>
  </si>
  <si>
    <t>Leonardo</t>
  </si>
  <si>
    <t>kigasu</t>
  </si>
  <si>
    <t>upin</t>
  </si>
  <si>
    <t>jakusya</t>
  </si>
  <si>
    <t>Stygian Zinogre</t>
  </si>
  <si>
    <t>HeartUnderBlade</t>
  </si>
  <si>
    <t>Jut187</t>
  </si>
  <si>
    <t>GivemeUp</t>
  </si>
  <si>
    <t>YOSHIO</t>
  </si>
  <si>
    <t>Drippy Walter</t>
  </si>
  <si>
    <t>bot</t>
  </si>
  <si>
    <t>6 vs 6</t>
  </si>
  <si>
    <t>Tier F</t>
  </si>
  <si>
    <t>wasabeafn</t>
  </si>
  <si>
    <t>Sener</t>
  </si>
  <si>
    <t>sousou</t>
  </si>
  <si>
    <t>waruwobu</t>
  </si>
  <si>
    <t>Gerar</t>
  </si>
  <si>
    <t>poto</t>
  </si>
  <si>
    <t>KiH</t>
  </si>
  <si>
    <t>sr624</t>
  </si>
  <si>
    <t>kanochanein</t>
  </si>
  <si>
    <t>akusera</t>
  </si>
  <si>
    <t>shigezo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</si>
</sst>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\+0"/>
  </numFmts>
  <fonts count="10" x14ac:knownFonts="1">
    <font>
      <sz val="11"/>
      <color theme="1"/>
      <name val="Calibri"/>
      <family val="2"/>
      <scheme val="minor"/>
    </font>
    <font>
      <sz val="24"/>
      <color rgb="FFFFFFFF"/>
      <name val="Titillium Web"/>
    </font>
    <font>
      <sz val="14"/>
      <color rgb="FFFFFFFF"/>
      <name val="Titillium Web"/>
    </font>
    <font>
      <sz val="14"/>
      <color rgb="FF000000"/>
      <name val="Titillium Web"/>
    </font>
    <font>
      <sz val="10"/>
      <color theme="1"/>
      <name val="Arial"/>
      <family val="2"/>
    </font>
    <font>
      <sz val="14"/>
      <color theme="0"/>
      <name val="Titillium Web"/>
    </font>
    <font>
      <sz val="14"/>
      <color rgb="FFFFFFFF"/>
      <name val="Roboto"/>
    </font>
    <font>
      <sz val="14"/>
      <color theme="1"/>
      <name val="Titillium Web"/>
    </font>
    <font>
      <sz val="14"/>
      <color theme="1"/>
      <name val="Arial"/>
      <family val="2"/>
    </font>
    <font>
      <sz val="14"/>
      <color rgb="FFCFE2F3"/>
      <name val="Titillium Web"/>
    </font>
  </fonts>
  <fills count="23">
    <fill>
      <patternFill patternType="none"/>
    </fill>
    <fill>
      <patternFill patternType="gray125"/>
    </fill>
    <fill>
      <patternFill patternType="solid">
        <fgColor rgb="FF0A2D61"/>
        <bgColor indexed="64"/>
      </patternFill>
    </fill>
    <fill>
      <patternFill patternType="solid">
        <fgColor rgb="FF1E2630"/>
        <bgColor indexed="64"/>
      </patternFill>
    </fill>
    <fill>
      <patternFill patternType="solid">
        <fgColor rgb="FF273C5A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233856"/>
        <bgColor indexed="64"/>
      </patternFill>
    </fill>
    <fill>
      <patternFill patternType="solid">
        <fgColor rgb="FF253A58"/>
        <bgColor indexed="64"/>
      </patternFill>
    </fill>
    <fill>
      <patternFill patternType="solid">
        <fgColor rgb="FF2022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2924E"/>
        <bgColor indexed="64"/>
      </patternFill>
    </fill>
    <fill>
      <patternFill patternType="solid">
        <fgColor rgb="FF91B184"/>
        <bgColor indexed="64"/>
      </patternFill>
    </fill>
    <fill>
      <patternFill patternType="solid">
        <fgColor rgb="FFC7D5C1"/>
        <bgColor indexed="64"/>
      </patternFill>
    </fill>
    <fill>
      <patternFill patternType="solid">
        <fgColor rgb="FFE9DEDE"/>
        <bgColor indexed="64"/>
      </patternFill>
    </fill>
    <fill>
      <patternFill patternType="solid">
        <fgColor rgb="FFBA5E5E"/>
        <bgColor indexed="64"/>
      </patternFill>
    </fill>
    <fill>
      <patternFill patternType="solid">
        <fgColor rgb="FFA72727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B1C6A7"/>
        <bgColor indexed="64"/>
      </patternFill>
    </fill>
    <fill>
      <patternFill patternType="solid">
        <fgColor rgb="FFD19D9D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48813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A01414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ck">
        <color rgb="FF000000"/>
      </top>
      <bottom/>
      <diagonal/>
    </border>
    <border>
      <left style="thick">
        <color rgb="FF000000"/>
      </left>
      <right style="thin">
        <color indexed="64"/>
      </right>
      <top style="thick">
        <color rgb="FF000000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5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0" fillId="8" borderId="0" xfId="0" applyFill="1"/>
    <xf numFmtId="0" fontId="0" fillId="8" borderId="5" xfId="0" applyFill="1" applyBorder="1"/>
    <xf numFmtId="0" fontId="0" fillId="8" borderId="5" xfId="0" applyFill="1" applyBorder="1" applyAlignment="1">
      <alignment horizontal="left"/>
    </xf>
    <xf numFmtId="0" fontId="0" fillId="8" borderId="8" xfId="0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wrapText="1"/>
    </xf>
    <xf numFmtId="0" fontId="2" fillId="5" borderId="13" xfId="0" applyFont="1" applyFill="1" applyBorder="1" applyAlignment="1">
      <alignment horizontal="center" wrapText="1"/>
    </xf>
    <xf numFmtId="0" fontId="5" fillId="6" borderId="13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4" borderId="17" xfId="0" applyFont="1" applyFill="1" applyBorder="1" applyAlignment="1">
      <alignment horizontal="center" wrapText="1"/>
    </xf>
    <xf numFmtId="0" fontId="2" fillId="5" borderId="18" xfId="0" applyFont="1" applyFill="1" applyBorder="1" applyAlignment="1">
      <alignment horizontal="center" wrapText="1"/>
    </xf>
    <xf numFmtId="0" fontId="5" fillId="4" borderId="18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wrapText="1"/>
    </xf>
    <xf numFmtId="0" fontId="0" fillId="8" borderId="0" xfId="0" applyFill="1" applyAlignment="1">
      <alignment horizontal="left"/>
    </xf>
    <xf numFmtId="0" fontId="2" fillId="3" borderId="15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wrapText="1"/>
    </xf>
    <xf numFmtId="0" fontId="2" fillId="6" borderId="13" xfId="0" applyFont="1" applyFill="1" applyBorder="1" applyAlignment="1">
      <alignment horizontal="center" vertical="center" wrapText="1"/>
    </xf>
    <xf numFmtId="0" fontId="4" fillId="9" borderId="20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vertical="center" wrapText="1"/>
    </xf>
    <xf numFmtId="0" fontId="7" fillId="7" borderId="21" xfId="0" applyFont="1" applyFill="1" applyBorder="1" applyAlignment="1">
      <alignment horizontal="center" vertical="center" wrapText="1"/>
    </xf>
    <xf numFmtId="164" fontId="3" fillId="0" borderId="18" xfId="0" applyNumberFormat="1" applyFont="1" applyBorder="1" applyAlignment="1">
      <alignment horizontal="center" wrapText="1"/>
    </xf>
    <xf numFmtId="164" fontId="3" fillId="0" borderId="2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 wrapText="1"/>
    </xf>
    <xf numFmtId="164" fontId="3" fillId="10" borderId="18" xfId="0" applyNumberFormat="1" applyFont="1" applyFill="1" applyBorder="1" applyAlignment="1">
      <alignment horizontal="center" vertical="center" wrapText="1"/>
    </xf>
    <xf numFmtId="164" fontId="3" fillId="10" borderId="2" xfId="0" applyNumberFormat="1" applyFont="1" applyFill="1" applyBorder="1" applyAlignment="1">
      <alignment horizontal="center" vertical="center" wrapText="1"/>
    </xf>
    <xf numFmtId="164" fontId="3" fillId="11" borderId="2" xfId="0" applyNumberFormat="1" applyFont="1" applyFill="1" applyBorder="1" applyAlignment="1">
      <alignment horizontal="center" vertical="center" wrapText="1"/>
    </xf>
    <xf numFmtId="164" fontId="3" fillId="12" borderId="2" xfId="0" applyNumberFormat="1" applyFont="1" applyFill="1" applyBorder="1" applyAlignment="1">
      <alignment horizontal="center" vertical="center" wrapText="1"/>
    </xf>
    <xf numFmtId="164" fontId="3" fillId="13" borderId="2" xfId="0" applyNumberFormat="1" applyFont="1" applyFill="1" applyBorder="1" applyAlignment="1">
      <alignment horizontal="center" vertical="center" wrapText="1"/>
    </xf>
    <xf numFmtId="164" fontId="3" fillId="14" borderId="2" xfId="0" applyNumberFormat="1" applyFont="1" applyFill="1" applyBorder="1" applyAlignment="1">
      <alignment horizontal="center" vertical="center" wrapText="1"/>
    </xf>
    <xf numFmtId="164" fontId="3" fillId="15" borderId="2" xfId="0" applyNumberFormat="1" applyFont="1" applyFill="1" applyBorder="1" applyAlignment="1">
      <alignment horizontal="center" vertical="center" wrapText="1"/>
    </xf>
    <xf numFmtId="164" fontId="3" fillId="16" borderId="13" xfId="0" applyNumberFormat="1" applyFont="1" applyFill="1" applyBorder="1" applyAlignment="1">
      <alignment horizontal="center" vertical="center" wrapText="1"/>
    </xf>
    <xf numFmtId="164" fontId="3" fillId="16" borderId="2" xfId="0" applyNumberFormat="1" applyFont="1" applyFill="1" applyBorder="1" applyAlignment="1">
      <alignment horizontal="center" vertical="center" wrapText="1"/>
    </xf>
    <xf numFmtId="164" fontId="3" fillId="17" borderId="2" xfId="0" applyNumberFormat="1" applyFont="1" applyFill="1" applyBorder="1" applyAlignment="1">
      <alignment horizontal="center" vertical="center" wrapText="1"/>
    </xf>
    <xf numFmtId="164" fontId="3" fillId="18" borderId="2" xfId="0" applyNumberFormat="1" applyFont="1" applyFill="1" applyBorder="1" applyAlignment="1">
      <alignment horizontal="center" vertical="center" wrapText="1"/>
    </xf>
    <xf numFmtId="164" fontId="3" fillId="19" borderId="2" xfId="0" applyNumberFormat="1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164" fontId="3" fillId="20" borderId="13" xfId="0" applyNumberFormat="1" applyFont="1" applyFill="1" applyBorder="1" applyAlignment="1">
      <alignment horizontal="center" vertical="center" wrapText="1"/>
    </xf>
    <xf numFmtId="164" fontId="3" fillId="20" borderId="2" xfId="0" applyNumberFormat="1" applyFont="1" applyFill="1" applyBorder="1" applyAlignment="1">
      <alignment horizontal="center" vertical="center" wrapText="1"/>
    </xf>
    <xf numFmtId="164" fontId="3" fillId="21" borderId="2" xfId="0" applyNumberFormat="1" applyFont="1" applyFill="1" applyBorder="1" applyAlignment="1">
      <alignment horizontal="center" vertical="center" wrapText="1"/>
    </xf>
    <xf numFmtId="164" fontId="3" fillId="22" borderId="2" xfId="0" applyNumberFormat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164" fontId="3" fillId="21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5" fillId="9" borderId="2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2" xfId="0" applyBorder="1"/>
    <xf numFmtId="0" fontId="2" fillId="3" borderId="7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39" xfId="0" applyBorder="1"/>
    <xf numFmtId="0" fontId="1" fillId="2" borderId="23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25" xfId="0" applyBorder="1"/>
    <xf numFmtId="0" fontId="2" fillId="4" borderId="20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3" xfId="0" applyBorder="1"/>
    <xf numFmtId="0" fontId="2" fillId="3" borderId="36" xfId="0" applyFont="1" applyFill="1" applyBorder="1" applyAlignment="1">
      <alignment horizontal="center" vertical="center" wrapText="1"/>
    </xf>
    <xf numFmtId="0" fontId="0" fillId="0" borderId="37" xfId="0" applyBorder="1"/>
    <xf numFmtId="0" fontId="1" fillId="2" borderId="28" xfId="0" applyFont="1" applyFill="1" applyBorder="1" applyAlignment="1">
      <alignment horizontal="center" vertical="center" wrapText="1"/>
    </xf>
    <xf numFmtId="0" fontId="0" fillId="0" borderId="38" xfId="0" applyBorder="1"/>
    <xf numFmtId="0" fontId="2" fillId="3" borderId="27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9" xfId="0" applyBorder="1"/>
  </cellXfs>
  <cellStyles count="1">
    <cellStyle name="Normal" xfId="0" builtinId="0"/>
  </cellStyles>
  <dxfs count="136"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color rgb="FF817876"/>
      </font>
    </dxf>
    <dxf>
      <font>
        <color theme="5" tint="-0.24994659260841701"/>
      </font>
    </dxf>
    <dxf>
      <font>
        <color theme="0" tint="-0.1498764000366222"/>
      </font>
    </dxf>
    <dxf>
      <font>
        <color theme="7" tint="0.39994506668294322"/>
      </font>
    </dxf>
    <dxf>
      <font>
        <color rgb="FF3FABB8"/>
      </font>
    </dxf>
    <dxf>
      <font>
        <color rgb="FF286CD3"/>
      </font>
    </dxf>
    <dxf>
      <font>
        <color theme="8" tint="0.59996337778862885"/>
      </font>
    </dxf>
    <dxf>
      <font>
        <color theme="4" tint="0.79998168889431442"/>
      </font>
    </dxf>
    <dxf>
      <font>
        <color rgb="FFA3022C"/>
      </font>
    </dxf>
    <dxf>
      <font>
        <b/>
        <i/>
        <color theme="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06"/>
  <sheetViews>
    <sheetView tabSelected="1" zoomScale="69" zoomScaleNormal="100" workbookViewId="0">
      <selection activeCell="M17" sqref="M17"/>
    </sheetView>
  </sheetViews>
  <sheetFormatPr baseColWidth="10" defaultColWidth="8.83203125" defaultRowHeight="15" x14ac:dyDescent="0.2"/>
  <cols>
    <col min="2" max="2" width="19" customWidth="1"/>
    <col min="4" max="4" width="31.5" customWidth="1"/>
    <col min="5" max="5" width="12.5" customWidth="1"/>
    <col min="6" max="6" width="9.6640625" customWidth="1"/>
    <col min="7" max="7" width="13.5" bestFit="1" customWidth="1"/>
    <col min="8" max="8" width="20.33203125" bestFit="1" customWidth="1"/>
    <col min="9" max="9" width="27.83203125" customWidth="1"/>
  </cols>
  <sheetData>
    <row r="3" spans="2:9" ht="15.75" customHeight="1" thickBot="1" x14ac:dyDescent="0.25">
      <c r="B3" s="9"/>
      <c r="C3" s="9"/>
      <c r="D3" s="9"/>
      <c r="E3" s="9"/>
      <c r="F3" s="9"/>
      <c r="G3" s="9"/>
      <c r="H3" s="9"/>
      <c r="I3" s="9"/>
    </row>
    <row r="4" spans="2:9" ht="35" customHeight="1" thickTop="1" thickBot="1" x14ac:dyDescent="0.25">
      <c r="B4" s="9"/>
      <c r="C4" s="96" t="s">
        <v>0</v>
      </c>
      <c r="D4" s="97"/>
      <c r="E4" s="95" t="s">
        <v>1</v>
      </c>
      <c r="F4" s="86"/>
      <c r="G4" s="86"/>
      <c r="H4" s="87"/>
      <c r="I4" s="9"/>
    </row>
    <row r="5" spans="2:9" ht="26.25" customHeight="1" thickTop="1" thickBot="1" x14ac:dyDescent="0.3">
      <c r="B5" s="10"/>
      <c r="C5" s="19" t="s">
        <v>2</v>
      </c>
      <c r="D5" s="20" t="s">
        <v>3</v>
      </c>
      <c r="E5" s="20" t="s">
        <v>4</v>
      </c>
      <c r="F5" s="20" t="s">
        <v>5</v>
      </c>
      <c r="G5" s="20" t="s">
        <v>6</v>
      </c>
      <c r="H5" s="28" t="s">
        <v>7</v>
      </c>
      <c r="I5" s="9"/>
    </row>
    <row r="6" spans="2:9" ht="25" customHeight="1" thickTop="1" x14ac:dyDescent="0.25">
      <c r="B6" s="11" t="s">
        <v>8</v>
      </c>
      <c r="C6" s="21">
        <v>1</v>
      </c>
      <c r="D6" s="22" t="s">
        <v>9</v>
      </c>
      <c r="E6" s="23">
        <v>3303</v>
      </c>
      <c r="F6" s="39">
        <v>208</v>
      </c>
      <c r="G6" s="18">
        <v>3511</v>
      </c>
      <c r="H6" s="35" t="str">
        <f t="shared" ref="H6:H29" si="0">IFERROR(IF(OR(C6=0,E6=""),"",IF(AND(E6&lt;13000,G6&gt;=13000),"▲ Master",IF(AND(E6&lt;14500,G6&gt;=14500),"▲ Grandmaster",IF(AND(E6&lt;11500,G6&gt;=11500),"▲ Diamond",IF(AND(E6&lt;10000,G6&gt;=10000),"▲ Sapphire",IF(AND(E6&lt;8500,G6&gt;=8500),"▲ Platinum",IF(AND(E6&lt;7000,G6&gt;=7000),"▲ Gold",IF(AND(E6&lt;5500,G6&gt;=5500),"▲ Silver",IF(AND(E6&lt;4000,G6&gt;=4000),"▲ Bronze",IF(AND(E6&lt;2000,G6&gt;=2000),"▲ Iron 2",IF(AND(E6&gt;=14500,G6&lt;14500),"▼ Master",IF(AND(E6&gt;=13000,G6&lt;13000),"▼ Diamond",IF(AND(E6&gt;=11500,G6&lt;11500),"▼ Sapphire",IF(AND(E6&gt;=10000,G6&lt;10000),"▼ Platinum",IF(AND(E6&gt;=8500,G6&lt;8500),"▼ Gold",IF(AND(E6&gt;=7000,G6&lt;7000),"▼ Silver",IF(AND(E6&gt;=5500,G6&lt;5500),"▼ Bronze",IF(AND(E6&gt;=4000,G6&lt;4000),"▼ Iron 2",IF(AND(E6&gt;=2000,G6&lt;2000),"▼ Iron 1",""))))))))))))))))))),"")</f>
        <v/>
      </c>
      <c r="I6" s="9"/>
    </row>
    <row r="7" spans="2:9" ht="25" customHeight="1" x14ac:dyDescent="0.25">
      <c r="B7" s="11">
        <v>5169</v>
      </c>
      <c r="C7" s="4">
        <v>2</v>
      </c>
      <c r="D7" s="1" t="s">
        <v>10</v>
      </c>
      <c r="E7" s="2">
        <v>3227</v>
      </c>
      <c r="F7" s="40">
        <v>171</v>
      </c>
      <c r="G7" s="18">
        <v>3398</v>
      </c>
      <c r="H7" s="36" t="str">
        <f t="shared" si="0"/>
        <v/>
      </c>
      <c r="I7" s="9"/>
    </row>
    <row r="8" spans="2:9" ht="25" customHeight="1" x14ac:dyDescent="0.25">
      <c r="B8" s="11">
        <v>3580</v>
      </c>
      <c r="C8" s="4">
        <v>3</v>
      </c>
      <c r="D8" s="1" t="s">
        <v>11</v>
      </c>
      <c r="E8" s="2">
        <v>3007</v>
      </c>
      <c r="F8" s="40">
        <v>140</v>
      </c>
      <c r="G8" s="18">
        <v>3147</v>
      </c>
      <c r="H8" s="36" t="str">
        <f t="shared" si="0"/>
        <v/>
      </c>
      <c r="I8" s="9"/>
    </row>
    <row r="9" spans="2:9" ht="25" customHeight="1" x14ac:dyDescent="0.25">
      <c r="B9" s="11">
        <v>3547</v>
      </c>
      <c r="C9" s="4">
        <v>4</v>
      </c>
      <c r="D9" s="1" t="s">
        <v>12</v>
      </c>
      <c r="E9" s="2">
        <v>3399</v>
      </c>
      <c r="F9" s="40">
        <v>84</v>
      </c>
      <c r="G9" s="18">
        <v>3483</v>
      </c>
      <c r="H9" s="36" t="str">
        <f t="shared" si="0"/>
        <v/>
      </c>
      <c r="I9" s="9"/>
    </row>
    <row r="10" spans="2:9" ht="25" customHeight="1" x14ac:dyDescent="0.25">
      <c r="B10" s="11">
        <v>5785</v>
      </c>
      <c r="C10" s="4">
        <v>5</v>
      </c>
      <c r="D10" s="1" t="s">
        <v>13</v>
      </c>
      <c r="E10" s="2">
        <v>3776</v>
      </c>
      <c r="F10" s="40">
        <v>30</v>
      </c>
      <c r="G10" s="18">
        <v>3806</v>
      </c>
      <c r="H10" s="36" t="str">
        <f t="shared" si="0"/>
        <v/>
      </c>
      <c r="I10" s="9"/>
    </row>
    <row r="11" spans="2:9" ht="25" customHeight="1" x14ac:dyDescent="0.25">
      <c r="B11" s="11">
        <v>3990</v>
      </c>
      <c r="C11" s="4">
        <v>6</v>
      </c>
      <c r="D11" s="1" t="s">
        <v>14</v>
      </c>
      <c r="E11" s="2">
        <v>2355</v>
      </c>
      <c r="F11" s="40">
        <v>46</v>
      </c>
      <c r="G11" s="18">
        <v>2401</v>
      </c>
      <c r="H11" s="36" t="str">
        <f t="shared" si="0"/>
        <v/>
      </c>
      <c r="I11" s="9"/>
    </row>
    <row r="12" spans="2:9" ht="25" customHeight="1" x14ac:dyDescent="0.25">
      <c r="B12" s="11">
        <v>3285</v>
      </c>
      <c r="C12" s="4">
        <v>7</v>
      </c>
      <c r="D12" s="1" t="s">
        <v>15</v>
      </c>
      <c r="E12" s="2">
        <v>2589</v>
      </c>
      <c r="F12" s="40">
        <v>-4</v>
      </c>
      <c r="G12" s="18">
        <v>2585</v>
      </c>
      <c r="H12" s="36" t="str">
        <f t="shared" si="0"/>
        <v/>
      </c>
      <c r="I12" s="9"/>
    </row>
    <row r="13" spans="2:9" ht="25" customHeight="1" x14ac:dyDescent="0.25">
      <c r="B13" s="11" t="s">
        <v>8</v>
      </c>
      <c r="C13" s="4">
        <v>8</v>
      </c>
      <c r="D13" s="1" t="s">
        <v>16</v>
      </c>
      <c r="E13" s="2">
        <v>3000</v>
      </c>
      <c r="F13" s="40">
        <v>-60</v>
      </c>
      <c r="G13" s="18">
        <v>2940</v>
      </c>
      <c r="H13" s="36" t="str">
        <f t="shared" si="0"/>
        <v/>
      </c>
      <c r="I13" s="9"/>
    </row>
    <row r="14" spans="2:9" ht="25" customHeight="1" x14ac:dyDescent="0.25">
      <c r="B14" s="11" t="s">
        <v>8</v>
      </c>
      <c r="C14" s="4">
        <v>9</v>
      </c>
      <c r="D14" s="1" t="s">
        <v>17</v>
      </c>
      <c r="E14" s="2">
        <v>2733</v>
      </c>
      <c r="F14" s="40">
        <v>-89</v>
      </c>
      <c r="G14" s="18">
        <v>2644</v>
      </c>
      <c r="H14" s="36" t="str">
        <f t="shared" si="0"/>
        <v/>
      </c>
      <c r="I14" s="9"/>
    </row>
    <row r="15" spans="2:9" ht="25" customHeight="1" x14ac:dyDescent="0.25">
      <c r="B15" s="11">
        <v>2675</v>
      </c>
      <c r="C15" s="4">
        <v>10</v>
      </c>
      <c r="D15" s="1" t="s">
        <v>18</v>
      </c>
      <c r="E15" s="2">
        <v>2530</v>
      </c>
      <c r="F15" s="40">
        <v>-121</v>
      </c>
      <c r="G15" s="18">
        <v>2409</v>
      </c>
      <c r="H15" s="36" t="str">
        <f t="shared" si="0"/>
        <v/>
      </c>
      <c r="I15" s="9"/>
    </row>
    <row r="16" spans="2:9" ht="25" customHeight="1" x14ac:dyDescent="0.3">
      <c r="B16" s="11">
        <v>4576</v>
      </c>
      <c r="C16" s="4">
        <v>11</v>
      </c>
      <c r="D16" s="1" t="s">
        <v>19</v>
      </c>
      <c r="E16" s="2">
        <v>3526</v>
      </c>
      <c r="F16" s="40">
        <v>-202</v>
      </c>
      <c r="G16" s="18">
        <v>3324</v>
      </c>
      <c r="H16" s="36" t="str">
        <f t="shared" si="0"/>
        <v/>
      </c>
      <c r="I16" s="9"/>
    </row>
    <row r="17" spans="2:9" ht="25" customHeight="1" x14ac:dyDescent="0.3">
      <c r="B17" s="11"/>
      <c r="C17" s="4">
        <v>12</v>
      </c>
      <c r="D17" s="7"/>
      <c r="E17" s="6"/>
      <c r="F17" s="41"/>
      <c r="G17" s="18"/>
      <c r="H17" s="36"/>
      <c r="I17" s="9"/>
    </row>
    <row r="18" spans="2:9" ht="25" customHeight="1" x14ac:dyDescent="0.3">
      <c r="B18" s="11"/>
      <c r="C18" s="4">
        <v>13</v>
      </c>
      <c r="D18" s="7"/>
      <c r="E18" s="6"/>
      <c r="F18" s="41"/>
      <c r="G18" s="18"/>
      <c r="H18" s="36"/>
      <c r="I18" s="9"/>
    </row>
    <row r="19" spans="2:9" ht="25" customHeight="1" x14ac:dyDescent="0.3">
      <c r="B19" s="11"/>
      <c r="C19" s="4">
        <v>14</v>
      </c>
      <c r="D19" s="7"/>
      <c r="E19" s="6"/>
      <c r="F19" s="41"/>
      <c r="G19" s="18"/>
      <c r="H19" s="36"/>
      <c r="I19" s="9"/>
    </row>
    <row r="20" spans="2:9" ht="25" customHeight="1" x14ac:dyDescent="0.3">
      <c r="B20" s="11"/>
      <c r="C20" s="4">
        <v>15</v>
      </c>
      <c r="D20" s="7"/>
      <c r="E20" s="6"/>
      <c r="F20" s="41"/>
      <c r="G20" s="18"/>
      <c r="H20" s="36"/>
      <c r="I20" s="9"/>
    </row>
    <row r="21" spans="2:9" ht="25" customHeight="1" x14ac:dyDescent="0.3">
      <c r="B21" s="11"/>
      <c r="C21" s="4">
        <v>16</v>
      </c>
      <c r="D21" s="7"/>
      <c r="E21" s="6"/>
      <c r="F21" s="41"/>
      <c r="G21" s="18"/>
      <c r="H21" s="36"/>
      <c r="I21" s="9"/>
    </row>
    <row r="22" spans="2:9" ht="25" customHeight="1" x14ac:dyDescent="0.3">
      <c r="B22" s="11"/>
      <c r="C22" s="4">
        <v>17</v>
      </c>
      <c r="D22" s="7"/>
      <c r="E22" s="6"/>
      <c r="F22" s="41"/>
      <c r="G22" s="18"/>
      <c r="H22" s="36"/>
      <c r="I22" s="9"/>
    </row>
    <row r="23" spans="2:9" ht="25" customHeight="1" x14ac:dyDescent="0.3">
      <c r="B23" s="11"/>
      <c r="C23" s="4">
        <v>18</v>
      </c>
      <c r="D23" s="7"/>
      <c r="E23" s="6"/>
      <c r="F23" s="41"/>
      <c r="G23" s="18"/>
      <c r="H23" s="36"/>
      <c r="I23" s="9"/>
    </row>
    <row r="24" spans="2:9" ht="25" customHeight="1" x14ac:dyDescent="0.3">
      <c r="B24" s="11"/>
      <c r="C24" s="4">
        <v>19</v>
      </c>
      <c r="D24" s="7"/>
      <c r="E24" s="6"/>
      <c r="F24" s="41"/>
      <c r="G24" s="18"/>
      <c r="H24" s="36"/>
      <c r="I24" s="9"/>
    </row>
    <row r="25" spans="2:9" ht="25" customHeight="1" x14ac:dyDescent="0.3">
      <c r="B25" s="11"/>
      <c r="C25" s="4">
        <v>20</v>
      </c>
      <c r="D25" s="7"/>
      <c r="E25" s="6"/>
      <c r="F25" s="41"/>
      <c r="G25" s="18"/>
      <c r="H25" s="36"/>
      <c r="I25" s="9"/>
    </row>
    <row r="26" spans="2:9" ht="25" customHeight="1" x14ac:dyDescent="0.3">
      <c r="B26" s="11"/>
      <c r="C26" s="4">
        <v>21</v>
      </c>
      <c r="D26" s="7"/>
      <c r="E26" s="6"/>
      <c r="F26" s="41"/>
      <c r="G26" s="18"/>
      <c r="H26" s="36"/>
      <c r="I26" s="9"/>
    </row>
    <row r="27" spans="2:9" ht="25" customHeight="1" x14ac:dyDescent="0.3">
      <c r="B27" s="11"/>
      <c r="C27" s="4">
        <v>22</v>
      </c>
      <c r="D27" s="7"/>
      <c r="E27" s="6"/>
      <c r="F27" s="41"/>
      <c r="G27" s="18"/>
      <c r="H27" s="36"/>
      <c r="I27" s="9"/>
    </row>
    <row r="28" spans="2:9" ht="25" customHeight="1" x14ac:dyDescent="0.3">
      <c r="B28" s="11"/>
      <c r="C28" s="4">
        <v>23</v>
      </c>
      <c r="D28" s="7"/>
      <c r="E28" s="6"/>
      <c r="F28" s="41"/>
      <c r="G28" s="18"/>
      <c r="H28" s="36"/>
      <c r="I28" s="9"/>
    </row>
    <row r="29" spans="2:9" ht="25" customHeight="1" x14ac:dyDescent="0.3">
      <c r="B29" s="11">
        <v>2861</v>
      </c>
      <c r="C29" s="4">
        <v>24</v>
      </c>
      <c r="D29" s="7" t="s">
        <v>20</v>
      </c>
      <c r="E29" s="6">
        <v>2564</v>
      </c>
      <c r="F29" s="41">
        <v>-203</v>
      </c>
      <c r="G29" s="18">
        <v>2361</v>
      </c>
      <c r="H29" s="36" t="str">
        <f t="shared" si="0"/>
        <v/>
      </c>
      <c r="I29" s="9"/>
    </row>
    <row r="30" spans="2:9" ht="25.5" customHeight="1" thickBot="1" x14ac:dyDescent="0.35">
      <c r="B30" s="10"/>
      <c r="C30" s="5" t="s">
        <v>21</v>
      </c>
      <c r="D30" s="8">
        <v>1</v>
      </c>
      <c r="E30" s="92" t="s">
        <v>22</v>
      </c>
      <c r="F30" s="78"/>
      <c r="G30" s="78"/>
      <c r="H30" s="34">
        <v>12179</v>
      </c>
      <c r="I30" s="12"/>
    </row>
    <row r="31" spans="2:9" ht="15.75" customHeight="1" thickTop="1" thickBot="1" x14ac:dyDescent="0.25">
      <c r="B31" s="9"/>
      <c r="C31" s="9"/>
      <c r="D31" s="9"/>
      <c r="E31" s="9"/>
      <c r="F31" s="9"/>
      <c r="G31" s="9"/>
      <c r="H31" s="9"/>
      <c r="I31" s="9"/>
    </row>
    <row r="32" spans="2:9" ht="35" customHeight="1" thickTop="1" thickBot="1" x14ac:dyDescent="0.25">
      <c r="B32" s="9"/>
      <c r="C32" s="80" t="s">
        <v>23</v>
      </c>
      <c r="D32" s="76"/>
      <c r="E32" s="95" t="s">
        <v>1</v>
      </c>
      <c r="F32" s="86"/>
      <c r="G32" s="86"/>
      <c r="H32" s="87"/>
      <c r="I32" s="9"/>
    </row>
    <row r="33" spans="2:9" ht="26.25" customHeight="1" thickTop="1" thickBot="1" x14ac:dyDescent="0.25">
      <c r="B33" s="9"/>
      <c r="C33" s="32" t="s">
        <v>2</v>
      </c>
      <c r="D33" s="27" t="s">
        <v>3</v>
      </c>
      <c r="E33" s="27" t="s">
        <v>4</v>
      </c>
      <c r="F33" s="27" t="s">
        <v>5</v>
      </c>
      <c r="G33" s="27" t="s">
        <v>6</v>
      </c>
      <c r="H33" s="33" t="s">
        <v>7</v>
      </c>
      <c r="I33" s="9"/>
    </row>
    <row r="34" spans="2:9" ht="25" customHeight="1" thickTop="1" x14ac:dyDescent="0.25">
      <c r="B34" s="26">
        <v>3707</v>
      </c>
      <c r="C34" s="94">
        <v>1</v>
      </c>
      <c r="D34" s="17" t="s">
        <v>24</v>
      </c>
      <c r="E34" s="24">
        <v>3707</v>
      </c>
      <c r="F34" s="42">
        <v>202</v>
      </c>
      <c r="G34" s="25">
        <v>3909</v>
      </c>
      <c r="H34" s="38" t="str">
        <f>IFERROR(IF(OR(C34=0,E34=""),"",IF(AND(E34&lt;13000,G34&gt;=13000),"▲ Master",IF(AND(E34&lt;14500,G34&gt;=14500),"▲ Grandmaster",IF(AND(E34&lt;11500,G34&gt;=11500),"▲ Diamond",IF(AND(E34&lt;10000,G34&gt;=10000),"▲ Sapphire",IF(AND(E34&lt;8500,G34&gt;=8500),"▲ Platinum",IF(AND(E34&lt;7000,G34&gt;=7000),"▲ Gold",IF(AND(E34&lt;5500,G34&gt;=5500),"▲ Silver",IF(AND(E34&lt;4000,G34&gt;=4000),"▲ Bronze",IF(AND(E34&lt;2000,G34&gt;=2000),"▲ Iron 2",IF(AND(E34&gt;=14500,G34&lt;14500),"▼ Master",IF(AND(E34&gt;=13000,G34&lt;13000),"▼ Diamond",IF(AND(E34&gt;=11500,G34&lt;11500),"▼ Sapphire",IF(AND(E34&gt;=10000,G34&lt;10000),"▼ Platinum",IF(AND(E34&gt;=8500,G34&lt;8500),"▼ Gold",IF(AND(E34&gt;=7000,G34&lt;7000),"▼ Silver",IF(AND(E34&gt;=5500,G34&lt;5500),"▼ Bronze",IF(AND(E34&gt;=4000,G34&lt;4000),"▼ Iron 2",IF(AND(E34&gt;=2000,G34&lt;2000),"▼ Iron 1",""))))))))))))))))))),"")</f>
        <v/>
      </c>
      <c r="I34" s="9"/>
    </row>
    <row r="35" spans="2:9" ht="25" customHeight="1" x14ac:dyDescent="0.25">
      <c r="B35" s="26">
        <v>2573</v>
      </c>
      <c r="C35" s="83"/>
      <c r="D35" s="1" t="s">
        <v>25</v>
      </c>
      <c r="E35" s="13">
        <v>2113</v>
      </c>
      <c r="F35" s="43">
        <v>202</v>
      </c>
      <c r="G35" s="3">
        <v>2315</v>
      </c>
      <c r="H35" s="36" t="str">
        <f>IFERROR(IF(OR(C34=0,E35=""),"",IF(AND(E35&lt;13000,G35&gt;=13000),"▲ Master",IF(AND(E35&lt;14500,G35&gt;=14500),"▲ Grandmaster",IF(AND(E35&lt;11500,G35&gt;=11500),"▲ Diamond",IF(AND(E35&lt;10000,G35&gt;=10000),"▲ Sapphire",IF(AND(E35&lt;8500,G35&gt;=8500),"▲ Platinum",IF(AND(E35&lt;7000,G35&gt;=7000),"▲ Gold",IF(AND(E35&lt;5500,G35&gt;=5500),"▲ Silver",IF(AND(E35&lt;4000,G35&gt;=4000),"▲ Bronze",IF(AND(E35&lt;2000,G35&gt;=2000),"▲ Iron 2",IF(AND(E35&gt;=14500,G35&lt;14500),"▼ Master",IF(AND(E35&gt;=13000,G35&lt;13000),"▼ Diamond",IF(AND(E35&gt;=11500,G35&lt;11500),"▼ Sapphire",IF(AND(E35&gt;=10000,G35&lt;10000),"▼ Platinum",IF(AND(E35&gt;=8500,G35&lt;8500),"▼ Gold",IF(AND(E35&gt;=7000,G35&lt;7000),"▼ Silver",IF(AND(E35&gt;=5500,G35&lt;5500),"▼ Bronze",IF(AND(E35&gt;=4000,G35&lt;4000),"▼ Iron 2",IF(AND(E35&gt;=2000,G35&lt;2000),"▼ Iron 1",""))))))))))))))))))),"")</f>
        <v/>
      </c>
      <c r="I35" s="9"/>
    </row>
    <row r="36" spans="2:9" ht="18" customHeight="1" x14ac:dyDescent="0.2">
      <c r="B36" s="9"/>
      <c r="C36" s="30"/>
      <c r="D36" s="16"/>
      <c r="E36" s="15"/>
      <c r="F36" s="15"/>
      <c r="G36" s="15"/>
      <c r="H36" s="37"/>
      <c r="I36" s="9"/>
    </row>
    <row r="37" spans="2:9" ht="25" customHeight="1" x14ac:dyDescent="0.25">
      <c r="B37" s="26">
        <v>4200</v>
      </c>
      <c r="C37" s="84">
        <v>2</v>
      </c>
      <c r="D37" s="1" t="s">
        <v>26</v>
      </c>
      <c r="E37" s="13">
        <v>3209</v>
      </c>
      <c r="F37" s="44">
        <v>79</v>
      </c>
      <c r="G37" s="3">
        <v>3288</v>
      </c>
      <c r="H37" s="36" t="str">
        <f>IFERROR(IF(OR(C37=0,E37=""),"",IF(AND(E37&lt;13000,G37&gt;=13000),"▲ Master",IF(AND(E37&lt;14500,G37&gt;=14500),"▲ Grandmaster",IF(AND(E37&lt;11500,G37&gt;=11500),"▲ Diamond",IF(AND(E37&lt;10000,G37&gt;=10000),"▲ Sapphire",IF(AND(E37&lt;8500,G37&gt;=8500),"▲ Platinum",IF(AND(E37&lt;7000,G37&gt;=7000),"▲ Gold",IF(AND(E37&lt;5500,G37&gt;=5500),"▲ Silver",IF(AND(E37&lt;4000,G37&gt;=4000),"▲ Bronze",IF(AND(E37&lt;2000,G37&gt;=2000),"▲ Iron 2",IF(AND(E37&gt;=14500,G37&lt;14500),"▼ Master",IF(AND(E37&gt;=13000,G37&lt;13000),"▼ Diamond",IF(AND(E37&gt;=11500,G37&lt;11500),"▼ Sapphire",IF(AND(E37&gt;=10000,G37&lt;10000),"▼ Platinum",IF(AND(E37&gt;=8500,G37&lt;8500),"▼ Gold",IF(AND(E37&gt;=7000,G37&lt;7000),"▼ Silver",IF(AND(E37&gt;=5500,G37&lt;5500),"▼ Bronze",IF(AND(E37&gt;=4000,G37&lt;4000),"▼ Iron 2",IF(AND(E37&gt;=2000,G37&lt;2000),"▼ Iron 1",""))))))))))))))))))),"")</f>
        <v/>
      </c>
      <c r="I37" s="9"/>
    </row>
    <row r="38" spans="2:9" ht="25" customHeight="1" x14ac:dyDescent="0.25">
      <c r="B38" s="26">
        <v>4159</v>
      </c>
      <c r="C38" s="83"/>
      <c r="D38" s="1" t="s">
        <v>27</v>
      </c>
      <c r="E38" s="13">
        <v>3882</v>
      </c>
      <c r="F38" s="44">
        <v>79</v>
      </c>
      <c r="G38" s="3">
        <v>3961</v>
      </c>
      <c r="H38" s="36" t="str">
        <f>IFERROR(IF(OR(C37=0,E38=""),"",IF(AND(E38&lt;13000,G38&gt;=13000),"▲ Master",IF(AND(E38&lt;14500,G38&gt;=14500),"▲ Grandmaster",IF(AND(E38&lt;11500,G38&gt;=11500),"▲ Diamond",IF(AND(E38&lt;10000,G38&gt;=10000),"▲ Sapphire",IF(AND(E38&lt;8500,G38&gt;=8500),"▲ Platinum",IF(AND(E38&lt;7000,G38&gt;=7000),"▲ Gold",IF(AND(E38&lt;5500,G38&gt;=5500),"▲ Silver",IF(AND(E38&lt;4000,G38&gt;=4000),"▲ Bronze",IF(AND(E38&lt;2000,G38&gt;=2000),"▲ Iron 2",IF(AND(E38&gt;=14500,G38&lt;14500),"▼ Master",IF(AND(E38&gt;=13000,G38&lt;13000),"▼ Diamond",IF(AND(E38&gt;=11500,G38&lt;11500),"▼ Sapphire",IF(AND(E38&gt;=10000,G38&lt;10000),"▼ Platinum",IF(AND(E38&gt;=8500,G38&lt;8500),"▼ Gold",IF(AND(E38&gt;=7000,G38&lt;7000),"▼ Silver",IF(AND(E38&gt;=5500,G38&lt;5500),"▼ Bronze",IF(AND(E38&gt;=4000,G38&lt;4000),"▼ Iron 2",IF(AND(E38&gt;=2000,G38&lt;2000),"▼ Iron 1",""))))))))))))))))))),"")</f>
        <v/>
      </c>
      <c r="I38" s="9"/>
    </row>
    <row r="39" spans="2:9" ht="18" customHeight="1" x14ac:dyDescent="0.2">
      <c r="B39" s="9"/>
      <c r="C39" s="30"/>
      <c r="D39" s="16"/>
      <c r="E39" s="15"/>
      <c r="F39" s="15"/>
      <c r="G39" s="15"/>
      <c r="H39" s="37"/>
      <c r="I39" s="9"/>
    </row>
    <row r="40" spans="2:9" ht="25" customHeight="1" x14ac:dyDescent="0.25">
      <c r="B40" s="26">
        <v>4369</v>
      </c>
      <c r="C40" s="84">
        <v>3</v>
      </c>
      <c r="D40" s="1" t="s">
        <v>28</v>
      </c>
      <c r="E40" s="13">
        <v>3846</v>
      </c>
      <c r="F40" s="45">
        <v>22</v>
      </c>
      <c r="G40" s="3">
        <v>3868</v>
      </c>
      <c r="H40" s="36" t="str">
        <f>IFERROR(IF(OR(C40=0,E40=""),"",IF(AND(E40&lt;13000,G40&gt;=13000),"▲ Master",IF(AND(E40&lt;14500,G40&gt;=14500),"▲ Grandmaster",IF(AND(E40&lt;11500,G40&gt;=11500),"▲ Diamond",IF(AND(E40&lt;10000,G40&gt;=10000),"▲ Sapphire",IF(AND(E40&lt;8500,G40&gt;=8500),"▲ Platinum",IF(AND(E40&lt;7000,G40&gt;=7000),"▲ Gold",IF(AND(E40&lt;5500,G40&gt;=5500),"▲ Silver",IF(AND(E40&lt;4000,G40&gt;=4000),"▲ Bronze",IF(AND(E40&lt;2000,G40&gt;=2000),"▲ Iron 2",IF(AND(E40&gt;=14500,G40&lt;14500),"▼ Master",IF(AND(E40&gt;=13000,G40&lt;13000),"▼ Diamond",IF(AND(E40&gt;=11500,G40&lt;11500),"▼ Sapphire",IF(AND(E40&gt;=10000,G40&lt;10000),"▼ Platinum",IF(AND(E40&gt;=8500,G40&lt;8500),"▼ Gold",IF(AND(E40&gt;=7000,G40&lt;7000),"▼ Silver",IF(AND(E40&gt;=5500,G40&lt;5500),"▼ Bronze",IF(AND(E40&gt;=4000,G40&lt;4000),"▼ Iron 2",IF(AND(E40&gt;=2000,G40&lt;2000),"▼ Iron 1",""))))))))))))))))))),"")</f>
        <v/>
      </c>
      <c r="I40" s="9"/>
    </row>
    <row r="41" spans="2:9" ht="25" customHeight="1" x14ac:dyDescent="0.25">
      <c r="B41" s="26">
        <v>3285</v>
      </c>
      <c r="C41" s="83"/>
      <c r="D41" s="1" t="s">
        <v>15</v>
      </c>
      <c r="E41" s="13">
        <v>2541</v>
      </c>
      <c r="F41" s="45">
        <v>22</v>
      </c>
      <c r="G41" s="3">
        <v>2563</v>
      </c>
      <c r="H41" s="36" t="str">
        <f>IFERROR(IF(OR(C40=0,E41=""),"",IF(AND(E41&lt;13000,G41&gt;=13000),"▲ Master",IF(AND(E41&lt;14500,G41&gt;=14500),"▲ Grandmaster",IF(AND(E41&lt;11500,G41&gt;=11500),"▲ Diamond",IF(AND(E41&lt;10000,G41&gt;=10000),"▲ Sapphire",IF(AND(E41&lt;8500,G41&gt;=8500),"▲ Platinum",IF(AND(E41&lt;7000,G41&gt;=7000),"▲ Gold",IF(AND(E41&lt;5500,G41&gt;=5500),"▲ Silver",IF(AND(E41&lt;4000,G41&gt;=4000),"▲ Bronze",IF(AND(E41&lt;2000,G41&gt;=2000),"▲ Iron 2",IF(AND(E41&gt;=14500,G41&lt;14500),"▼ Master",IF(AND(E41&gt;=13000,G41&lt;13000),"▼ Diamond",IF(AND(E41&gt;=11500,G41&lt;11500),"▼ Sapphire",IF(AND(E41&gt;=10000,G41&lt;10000),"▼ Platinum",IF(AND(E41&gt;=8500,G41&lt;8500),"▼ Gold",IF(AND(E41&gt;=7000,G41&lt;7000),"▼ Silver",IF(AND(E41&gt;=5500,G41&lt;5500),"▼ Bronze",IF(AND(E41&gt;=4000,G41&lt;4000),"▼ Iron 2",IF(AND(E41&gt;=2000,G41&lt;2000),"▼ Iron 1",""))))))))))))))))))),"")</f>
        <v/>
      </c>
      <c r="I41" s="9"/>
    </row>
    <row r="42" spans="2:9" ht="18" customHeight="1" x14ac:dyDescent="0.2">
      <c r="B42" s="9"/>
      <c r="C42" s="30"/>
      <c r="D42" s="16"/>
      <c r="E42" s="15"/>
      <c r="F42" s="15"/>
      <c r="G42" s="15"/>
      <c r="H42" s="37"/>
      <c r="I42" s="9"/>
    </row>
    <row r="43" spans="2:9" ht="25" customHeight="1" x14ac:dyDescent="0.25">
      <c r="B43" s="26">
        <v>2751</v>
      </c>
      <c r="C43" s="84">
        <v>4</v>
      </c>
      <c r="D43" s="1" t="s">
        <v>29</v>
      </c>
      <c r="E43" s="13">
        <v>2564</v>
      </c>
      <c r="F43" s="46">
        <v>-40</v>
      </c>
      <c r="G43" s="3">
        <v>2524</v>
      </c>
      <c r="H43" s="36" t="str">
        <f>IFERROR(IF(OR(C43=0,E43=""),"",IF(AND(E43&lt;13000,G43&gt;=13000),"▲ Master",IF(AND(E43&lt;14500,G43&gt;=14500),"▲ Grandmaster",IF(AND(E43&lt;11500,G43&gt;=11500),"▲ Diamond",IF(AND(E43&lt;10000,G43&gt;=10000),"▲ Sapphire",IF(AND(E43&lt;8500,G43&gt;=8500),"▲ Platinum",IF(AND(E43&lt;7000,G43&gt;=7000),"▲ Gold",IF(AND(E43&lt;5500,G43&gt;=5500),"▲ Silver",IF(AND(E43&lt;4000,G43&gt;=4000),"▲ Bronze",IF(AND(E43&lt;2000,G43&gt;=2000),"▲ Iron 2",IF(AND(E43&gt;=14500,G43&lt;14500),"▼ Master",IF(AND(E43&gt;=13000,G43&lt;13000),"▼ Diamond",IF(AND(E43&gt;=11500,G43&lt;11500),"▼ Sapphire",IF(AND(E43&gt;=10000,G43&lt;10000),"▼ Platinum",IF(AND(E43&gt;=8500,G43&lt;8500),"▼ Gold",IF(AND(E43&gt;=7000,G43&lt;7000),"▼ Silver",IF(AND(E43&gt;=5500,G43&lt;5500),"▼ Bronze",IF(AND(E43&gt;=4000,G43&lt;4000),"▼ Iron 2",IF(AND(E43&gt;=2000,G43&lt;2000),"▼ Iron 1",""))))))))))))))))))),"")</f>
        <v/>
      </c>
      <c r="I43" s="9"/>
    </row>
    <row r="44" spans="2:9" ht="25" customHeight="1" x14ac:dyDescent="0.25">
      <c r="B44" s="26" t="s">
        <v>8</v>
      </c>
      <c r="C44" s="83"/>
      <c r="D44" s="1" t="s">
        <v>30</v>
      </c>
      <c r="E44" s="13">
        <v>3272</v>
      </c>
      <c r="F44" s="46">
        <v>-40</v>
      </c>
      <c r="G44" s="3">
        <v>3232</v>
      </c>
      <c r="H44" s="36" t="str">
        <f>IFERROR(IF(OR(C43=0,E44=""),"",IF(AND(E44&lt;13000,G44&gt;=13000),"▲ Master",IF(AND(E44&lt;14500,G44&gt;=14500),"▲ Grandmaster",IF(AND(E44&lt;11500,G44&gt;=11500),"▲ Diamond",IF(AND(E44&lt;10000,G44&gt;=10000),"▲ Sapphire",IF(AND(E44&lt;8500,G44&gt;=8500),"▲ Platinum",IF(AND(E44&lt;7000,G44&gt;=7000),"▲ Gold",IF(AND(E44&lt;5500,G44&gt;=5500),"▲ Silver",IF(AND(E44&lt;4000,G44&gt;=4000),"▲ Bronze",IF(AND(E44&lt;2000,G44&gt;=2000),"▲ Iron 2",IF(AND(E44&gt;=14500,G44&lt;14500),"▼ Master",IF(AND(E44&gt;=13000,G44&lt;13000),"▼ Diamond",IF(AND(E44&gt;=11500,G44&lt;11500),"▼ Sapphire",IF(AND(E44&gt;=10000,G44&lt;10000),"▼ Platinum",IF(AND(E44&gt;=8500,G44&lt;8500),"▼ Gold",IF(AND(E44&gt;=7000,G44&lt;7000),"▼ Silver",IF(AND(E44&gt;=5500,G44&lt;5500),"▼ Bronze",IF(AND(E44&gt;=4000,G44&lt;4000),"▼ Iron 2",IF(AND(E44&gt;=2000,G44&lt;2000),"▼ Iron 1",""))))))))))))))))))),"")</f>
        <v/>
      </c>
      <c r="I44" s="9"/>
    </row>
    <row r="45" spans="2:9" ht="18" customHeight="1" x14ac:dyDescent="0.2">
      <c r="B45" s="9"/>
      <c r="C45" s="30"/>
      <c r="D45" s="16"/>
      <c r="E45" s="15"/>
      <c r="F45" s="15"/>
      <c r="G45" s="15"/>
      <c r="H45" s="37"/>
      <c r="I45" s="9"/>
    </row>
    <row r="46" spans="2:9" ht="25" customHeight="1" x14ac:dyDescent="0.25">
      <c r="B46" s="26" t="s">
        <v>8</v>
      </c>
      <c r="C46" s="84">
        <v>5</v>
      </c>
      <c r="D46" s="1" t="s">
        <v>31</v>
      </c>
      <c r="E46" s="13">
        <v>2525</v>
      </c>
      <c r="F46" s="47">
        <v>-84</v>
      </c>
      <c r="G46" s="3">
        <v>2441</v>
      </c>
      <c r="H46" s="36" t="str">
        <f>IFERROR(IF(OR(C46=0,E46=""),"",IF(AND(E46&lt;13000,G46&gt;=13000),"▲ Master",IF(AND(E46&lt;14500,G46&gt;=14500),"▲ Grandmaster",IF(AND(E46&lt;11500,G46&gt;=11500),"▲ Diamond",IF(AND(E46&lt;10000,G46&gt;=10000),"▲ Sapphire",IF(AND(E46&lt;8500,G46&gt;=8500),"▲ Platinum",IF(AND(E46&lt;7000,G46&gt;=7000),"▲ Gold",IF(AND(E46&lt;5500,G46&gt;=5500),"▲ Silver",IF(AND(E46&lt;4000,G46&gt;=4000),"▲ Bronze",IF(AND(E46&lt;2000,G46&gt;=2000),"▲ Iron 2",IF(AND(E46&gt;=14500,G46&lt;14500),"▼ Master",IF(AND(E46&gt;=13000,G46&lt;13000),"▼ Diamond",IF(AND(E46&gt;=11500,G46&lt;11500),"▼ Sapphire",IF(AND(E46&gt;=10000,G46&lt;10000),"▼ Platinum",IF(AND(E46&gt;=8500,G46&lt;8500),"▼ Gold",IF(AND(E46&gt;=7000,G46&lt;7000),"▼ Silver",IF(AND(E46&gt;=5500,G46&lt;5500),"▼ Bronze",IF(AND(E46&gt;=4000,G46&lt;4000),"▼ Iron 2",IF(AND(E46&gt;=2000,G46&lt;2000),"▼ Iron 1",""))))))))))))))))))),"")</f>
        <v/>
      </c>
      <c r="I46" s="9"/>
    </row>
    <row r="47" spans="2:9" ht="25" customHeight="1" x14ac:dyDescent="0.25">
      <c r="B47" s="26">
        <v>2861</v>
      </c>
      <c r="C47" s="83"/>
      <c r="D47" s="1" t="s">
        <v>20</v>
      </c>
      <c r="E47" s="13">
        <v>2212</v>
      </c>
      <c r="F47" s="47">
        <v>-84</v>
      </c>
      <c r="G47" s="3">
        <v>2128</v>
      </c>
      <c r="H47" s="36" t="str">
        <f>IFERROR(IF(OR(C46=0,E47=""),"",IF(AND(E47&lt;13000,G47&gt;=13000),"▲ Master",IF(AND(E47&lt;14500,G47&gt;=14500),"▲ Grandmaster",IF(AND(E47&lt;11500,G47&gt;=11500),"▲ Diamond",IF(AND(E47&lt;10000,G47&gt;=10000),"▲ Sapphire",IF(AND(E47&lt;8500,G47&gt;=8500),"▲ Platinum",IF(AND(E47&lt;7000,G47&gt;=7000),"▲ Gold",IF(AND(E47&lt;5500,G47&gt;=5500),"▲ Silver",IF(AND(E47&lt;4000,G47&gt;=4000),"▲ Bronze",IF(AND(E47&lt;2000,G47&gt;=2000),"▲ Iron 2",IF(AND(E47&gt;=14500,G47&lt;14500),"▼ Master",IF(AND(E47&gt;=13000,G47&lt;13000),"▼ Diamond",IF(AND(E47&gt;=11500,G47&lt;11500),"▼ Sapphire",IF(AND(E47&gt;=10000,G47&lt;10000),"▼ Platinum",IF(AND(E47&gt;=8500,G47&lt;8500),"▼ Gold",IF(AND(E47&gt;=7000,G47&lt;7000),"▼ Silver",IF(AND(E47&gt;=5500,G47&lt;5500),"▼ Bronze",IF(AND(E47&gt;=4000,G47&lt;4000),"▼ Iron 2",IF(AND(E47&gt;=2000,G47&lt;2000),"▼ Iron 1",""))))))))))))))))))),"")</f>
        <v/>
      </c>
      <c r="I47" s="9"/>
    </row>
    <row r="48" spans="2:9" ht="18" customHeight="1" x14ac:dyDescent="0.2">
      <c r="B48" s="9"/>
      <c r="C48" s="30"/>
      <c r="D48" s="16"/>
      <c r="E48" s="15"/>
      <c r="F48" s="15"/>
      <c r="G48" s="15"/>
      <c r="H48" s="37"/>
      <c r="I48" s="9"/>
    </row>
    <row r="49" spans="2:9" ht="25" customHeight="1" x14ac:dyDescent="0.25">
      <c r="B49" s="26">
        <v>2455</v>
      </c>
      <c r="C49" s="93">
        <v>6</v>
      </c>
      <c r="D49" s="1" t="s">
        <v>32</v>
      </c>
      <c r="E49" s="13">
        <v>2406</v>
      </c>
      <c r="F49" s="48">
        <v>-179</v>
      </c>
      <c r="G49" s="3">
        <v>2227</v>
      </c>
      <c r="H49" s="36" t="str">
        <f>IFERROR(IF(OR(C49=0,E49=""),"",IF(AND(E49&lt;13000,G49&gt;=13000),"▲ Master",IF(AND(E49&lt;14500,G49&gt;=14500),"▲ Grandmaster",IF(AND(E49&lt;11500,G49&gt;=11500),"▲ Diamond",IF(AND(E49&lt;10000,G49&gt;=10000),"▲ Sapphire",IF(AND(E49&lt;8500,G49&gt;=8500),"▲ Platinum",IF(AND(E49&lt;7000,G49&gt;=7000),"▲ Gold",IF(AND(E49&lt;5500,G49&gt;=5500),"▲ Silver",IF(AND(E49&lt;4000,G49&gt;=4000),"▲ Bronze",IF(AND(E49&lt;2000,G49&gt;=2000),"▲ Iron 2",IF(AND(E49&gt;=14500,G49&lt;14500),"▼ Master",IF(AND(E49&gt;=13000,G49&lt;13000),"▼ Diamond",IF(AND(E49&gt;=11500,G49&lt;11500),"▼ Sapphire",IF(AND(E49&gt;=10000,G49&lt;10000),"▼ Platinum",IF(AND(E49&gt;=8500,G49&lt;8500),"▼ Gold",IF(AND(E49&gt;=7000,G49&lt;7000),"▼ Silver",IF(AND(E49&gt;=5500,G49&lt;5500),"▼ Bronze",IF(AND(E49&gt;=4000,G49&lt;4000),"▼ Iron 2",IF(AND(E49&gt;=2000,G49&lt;2000),"▼ Iron 1",""))))))))))))))))))),"")</f>
        <v/>
      </c>
      <c r="I49" s="9"/>
    </row>
    <row r="50" spans="2:9" ht="25" customHeight="1" x14ac:dyDescent="0.25">
      <c r="B50" s="26" t="s">
        <v>8</v>
      </c>
      <c r="C50" s="83"/>
      <c r="D50" s="1" t="s">
        <v>16</v>
      </c>
      <c r="E50" s="13">
        <v>2791</v>
      </c>
      <c r="F50" s="48">
        <v>-179</v>
      </c>
      <c r="G50" s="3">
        <v>2612</v>
      </c>
      <c r="H50" s="36" t="str">
        <f>IFERROR(IF(OR(C49=0,E50=""),"",IF(AND(E50&lt;13000,G50&gt;=13000),"▲ Master",IF(AND(E50&lt;14500,G50&gt;=14500),"▲ Grandmaster",IF(AND(E50&lt;11500,G50&gt;=11500),"▲ Diamond",IF(AND(E50&lt;10000,G50&gt;=10000),"▲ Sapphire",IF(AND(E50&lt;8500,G50&gt;=8500),"▲ Platinum",IF(AND(E50&lt;7000,G50&gt;=7000),"▲ Gold",IF(AND(E50&lt;5500,G50&gt;=5500),"▲ Silver",IF(AND(E50&lt;4000,G50&gt;=4000),"▲ Bronze",IF(AND(E50&lt;2000,G50&gt;=2000),"▲ Iron 2",IF(AND(E50&gt;=14500,G50&lt;14500),"▼ Master",IF(AND(E50&gt;=13000,G50&lt;13000),"▼ Diamond",IF(AND(E50&gt;=11500,G50&lt;11500),"▼ Sapphire",IF(AND(E50&gt;=10000,G50&lt;10000),"▼ Platinum",IF(AND(E50&gt;=8500,G50&lt;8500),"▼ Gold",IF(AND(E50&gt;=7000,G50&lt;7000),"▼ Silver",IF(AND(E50&gt;=5500,G50&lt;5500),"▼ Bronze",IF(AND(E50&gt;=4000,G50&lt;4000),"▼ Iron 2",IF(AND(E50&gt;=2000,G50&lt;2000),"▼ Iron 1",""))))))))))))))))))),"")</f>
        <v/>
      </c>
      <c r="I50" s="9"/>
    </row>
    <row r="51" spans="2:9" ht="25.5" customHeight="1" thickBot="1" x14ac:dyDescent="0.25">
      <c r="B51" s="9"/>
      <c r="C51" s="31" t="s">
        <v>21</v>
      </c>
      <c r="D51" s="73">
        <v>12</v>
      </c>
      <c r="E51" s="92" t="s">
        <v>22</v>
      </c>
      <c r="F51" s="78"/>
      <c r="G51" s="78"/>
      <c r="H51" s="34">
        <v>12194</v>
      </c>
      <c r="I51" s="9"/>
    </row>
    <row r="52" spans="2:9" ht="16.5" customHeight="1" thickTop="1" thickBot="1" x14ac:dyDescent="0.25">
      <c r="B52" s="9"/>
      <c r="C52" s="9"/>
      <c r="D52" s="9"/>
      <c r="E52" s="9"/>
      <c r="F52" s="9"/>
      <c r="G52" s="9"/>
      <c r="H52" s="9"/>
      <c r="I52" s="9"/>
    </row>
    <row r="53" spans="2:9" ht="35" customHeight="1" thickTop="1" thickBot="1" x14ac:dyDescent="0.25">
      <c r="B53" s="9"/>
      <c r="C53" s="80" t="s">
        <v>33</v>
      </c>
      <c r="D53" s="76"/>
      <c r="E53" s="74" t="s">
        <v>1</v>
      </c>
      <c r="F53" s="75"/>
      <c r="G53" s="75"/>
      <c r="H53" s="76"/>
      <c r="I53" s="9"/>
    </row>
    <row r="54" spans="2:9" ht="26.25" customHeight="1" thickTop="1" thickBot="1" x14ac:dyDescent="0.25">
      <c r="B54" s="9"/>
      <c r="C54" s="32" t="s">
        <v>2</v>
      </c>
      <c r="D54" s="27" t="s">
        <v>3</v>
      </c>
      <c r="E54" s="27" t="s">
        <v>4</v>
      </c>
      <c r="F54" s="27" t="s">
        <v>5</v>
      </c>
      <c r="G54" s="27" t="s">
        <v>6</v>
      </c>
      <c r="H54" s="33" t="s">
        <v>7</v>
      </c>
      <c r="I54" s="9"/>
    </row>
    <row r="55" spans="2:9" ht="25" customHeight="1" thickTop="1" x14ac:dyDescent="0.25">
      <c r="B55" s="26">
        <v>3628</v>
      </c>
      <c r="C55" s="81">
        <v>1</v>
      </c>
      <c r="D55" s="17" t="s">
        <v>34</v>
      </c>
      <c r="E55" s="24">
        <v>3256</v>
      </c>
      <c r="F55" s="49">
        <v>171</v>
      </c>
      <c r="G55" s="29">
        <v>3427</v>
      </c>
      <c r="H55" s="35" t="str">
        <f>IFERROR(IF(OR(C55=0,E55=""),"",IF(AND(E55&lt;13000,G55&gt;=13000),"▲ Master",IF(AND(E55&lt;14500,G55&gt;=14500),"▲ Grandmaster",IF(AND(E55&lt;11500,G55&gt;=11500),"▲ Diamond",IF(AND(E55&lt;10000,G55&gt;=10000),"▲ Sapphire",IF(AND(E55&lt;8500,G55&gt;=8500),"▲ Platinum",IF(AND(E55&lt;7000,G55&gt;=7000),"▲ Gold",IF(AND(E55&lt;5500,G55&gt;=5500),"▲ Silver",IF(AND(E55&lt;4000,G55&gt;=4000),"▲ Bronze",IF(AND(E55&lt;2000,G55&gt;=2000),"▲ Iron 2",IF(AND(E55&gt;=14500,G55&lt;14500),"▼ Master",IF(AND(E55&gt;=13000,G55&lt;13000),"▼ Diamond",IF(AND(E55&gt;=11500,G55&lt;11500),"▼ Sapphire",IF(AND(E55&gt;=10000,G55&lt;10000),"▼ Platinum",IF(AND(E55&gt;=8500,G55&lt;8500),"▼ Gold",IF(AND(E55&gt;=7000,G55&lt;7000),"▼ Silver",IF(AND(E55&gt;=5500,G55&lt;5500),"▼ Bronze",IF(AND(E55&gt;=4000,G55&lt;4000),"▼ Iron 2",IF(AND(E55&gt;=2000,G55&lt;2000),"▼ Iron 1",""))))))))))))))))))),"")</f>
        <v/>
      </c>
      <c r="I55" s="9"/>
    </row>
    <row r="56" spans="2:9" ht="25" customHeight="1" x14ac:dyDescent="0.25">
      <c r="B56" s="26" t="s">
        <v>8</v>
      </c>
      <c r="C56" s="82"/>
      <c r="D56" s="1" t="s">
        <v>35</v>
      </c>
      <c r="E56" s="13">
        <v>3158</v>
      </c>
      <c r="F56" s="50">
        <v>171</v>
      </c>
      <c r="G56" s="14">
        <v>3329</v>
      </c>
      <c r="H56" s="36" t="str">
        <f>IFERROR(IF(OR(C55=0,E56=""),"",IF(AND(E56&lt;13000,G56&gt;=13000),"▲ Master",IF(AND(E56&lt;14500,G56&gt;=14500),"▲ Grandmaster",IF(AND(E56&lt;11500,G56&gt;=11500),"▲ Diamond",IF(AND(E56&lt;10000,G56&gt;=10000),"▲ Sapphire",IF(AND(E56&lt;8500,G56&gt;=8500),"▲ Platinum",IF(AND(E56&lt;7000,G56&gt;=7000),"▲ Gold",IF(AND(E56&lt;5500,G56&gt;=5500),"▲ Silver",IF(AND(E56&lt;4000,G56&gt;=4000),"▲ Bronze",IF(AND(E56&lt;2000,G56&gt;=2000),"▲ Iron 2",IF(AND(E56&gt;=14500,G56&lt;14500),"▼ Master",IF(AND(E56&gt;=13000,G56&lt;13000),"▼ Diamond",IF(AND(E56&gt;=11500,G56&lt;11500),"▼ Sapphire",IF(AND(E56&gt;=10000,G56&lt;10000),"▼ Platinum",IF(AND(E56&gt;=8500,G56&lt;8500),"▼ Gold",IF(AND(E56&gt;=7000,G56&lt;7000),"▼ Silver",IF(AND(E56&gt;=5500,G56&lt;5500),"▼ Bronze",IF(AND(E56&gt;=4000,G56&lt;4000),"▼ Iron 2",IF(AND(E56&gt;=2000,G56&lt;2000),"▼ Iron 1",""))))))))))))))))))),"")</f>
        <v/>
      </c>
      <c r="I56" s="9"/>
    </row>
    <row r="57" spans="2:9" ht="25" customHeight="1" x14ac:dyDescent="0.25">
      <c r="B57" s="26">
        <v>4520</v>
      </c>
      <c r="C57" s="83"/>
      <c r="D57" s="1" t="s">
        <v>36</v>
      </c>
      <c r="E57" s="13">
        <v>4097</v>
      </c>
      <c r="F57" s="50">
        <v>171</v>
      </c>
      <c r="G57" s="14">
        <v>4268</v>
      </c>
      <c r="H57" s="36" t="str">
        <f>IFERROR(IF(OR(C55=0,E57=""),"",IF(AND(E57&lt;13000,G57&gt;=13000),"▲ Master",IF(AND(E57&lt;14500,G57&gt;=14500),"▲ Grandmaster",IF(AND(E57&lt;11500,G57&gt;=11500),"▲ Diamond",IF(AND(E57&lt;10000,G57&gt;=10000),"▲ Sapphire",IF(AND(E57&lt;8500,G57&gt;=8500),"▲ Platinum",IF(AND(E57&lt;7000,G57&gt;=7000),"▲ Gold",IF(AND(E57&lt;5500,G57&gt;=5500),"▲ Silver",IF(AND(E57&lt;4000,G57&gt;=4000),"▲ Bronze",IF(AND(E57&lt;2000,G57&gt;=2000),"▲ Iron 2",IF(AND(E57&gt;=14500,G57&lt;14500),"▼ Master",IF(AND(E57&gt;=13000,G57&lt;13000),"▼ Diamond",IF(AND(E57&gt;=11500,G57&lt;11500),"▼ Sapphire",IF(AND(E57&gt;=10000,G57&lt;10000),"▼ Platinum",IF(AND(E57&gt;=8500,G57&lt;8500),"▼ Gold",IF(AND(E57&gt;=7000,G57&lt;7000),"▼ Silver",IF(AND(E57&gt;=5500,G57&lt;5500),"▼ Bronze",IF(AND(E57&gt;=4000,G57&lt;4000),"▼ Iron 2",IF(AND(E57&gt;=2000,G57&lt;2000),"▼ Iron 1",""))))))))))))))))))),"")</f>
        <v/>
      </c>
      <c r="I57" s="9"/>
    </row>
    <row r="58" spans="2:9" ht="18" customHeight="1" x14ac:dyDescent="0.2">
      <c r="B58" s="9"/>
      <c r="C58" s="30"/>
      <c r="D58" s="16"/>
      <c r="E58" s="15"/>
      <c r="F58" s="15"/>
      <c r="G58" s="15"/>
      <c r="H58" s="37"/>
      <c r="I58" s="9"/>
    </row>
    <row r="59" spans="2:9" ht="25" customHeight="1" x14ac:dyDescent="0.25">
      <c r="B59" s="26">
        <v>3672</v>
      </c>
      <c r="C59" s="84">
        <v>2</v>
      </c>
      <c r="D59" s="1" t="s">
        <v>37</v>
      </c>
      <c r="E59" s="13">
        <v>3349</v>
      </c>
      <c r="F59" s="51">
        <v>30</v>
      </c>
      <c r="G59" s="14">
        <v>3379</v>
      </c>
      <c r="H59" s="36" t="str">
        <f>IFERROR(IF(OR(C59=0,E59=""),"",IF(AND(E59&lt;13000,G59&gt;=13000),"▲ Master",IF(AND(E59&lt;14500,G59&gt;=14500),"▲ Grandmaster",IF(AND(E59&lt;11500,G59&gt;=11500),"▲ Diamond",IF(AND(E59&lt;10000,G59&gt;=10000),"▲ Sapphire",IF(AND(E59&lt;8500,G59&gt;=8500),"▲ Platinum",IF(AND(E59&lt;7000,G59&gt;=7000),"▲ Gold",IF(AND(E59&lt;5500,G59&gt;=5500),"▲ Silver",IF(AND(E59&lt;4000,G59&gt;=4000),"▲ Bronze",IF(AND(E59&lt;2000,G59&gt;=2000),"▲ Iron 2",IF(AND(E59&gt;=14500,G59&lt;14500),"▼ Master",IF(AND(E59&gt;=13000,G59&lt;13000),"▼ Diamond",IF(AND(E59&gt;=11500,G59&lt;11500),"▼ Sapphire",IF(AND(E59&gt;=10000,G59&lt;10000),"▼ Platinum",IF(AND(E59&gt;=8500,G59&lt;8500),"▼ Gold",IF(AND(E59&gt;=7000,G59&lt;7000),"▼ Silver",IF(AND(E59&gt;=5500,G59&lt;5500),"▼ Bronze",IF(AND(E59&gt;=4000,G59&lt;4000),"▼ Iron 2",IF(AND(E59&gt;=2000,G59&lt;2000),"▼ Iron 1",""))))))))))))))))))),"")</f>
        <v/>
      </c>
      <c r="I59" s="9"/>
    </row>
    <row r="60" spans="2:9" ht="25" customHeight="1" x14ac:dyDescent="0.25">
      <c r="B60" s="26">
        <v>4159</v>
      </c>
      <c r="C60" s="82"/>
      <c r="D60" s="1" t="s">
        <v>27</v>
      </c>
      <c r="E60" s="13">
        <v>3980</v>
      </c>
      <c r="F60" s="51">
        <v>30</v>
      </c>
      <c r="G60" s="14">
        <v>4010</v>
      </c>
      <c r="H60" s="36" t="str">
        <f>IFERROR(IF(OR(C59=0,E60=""),"",IF(AND(E60&lt;13000,G60&gt;=13000),"▲ Master",IF(AND(E60&lt;14500,G60&gt;=14500),"▲ Grandmaster",IF(AND(E60&lt;11500,G60&gt;=11500),"▲ Diamond",IF(AND(E60&lt;10000,G60&gt;=10000),"▲ Sapphire",IF(AND(E60&lt;8500,G60&gt;=8500),"▲ Platinum",IF(AND(E60&lt;7000,G60&gt;=7000),"▲ Gold",IF(AND(E60&lt;5500,G60&gt;=5500),"▲ Silver",IF(AND(E60&lt;4000,G60&gt;=4000),"▲ Bronze",IF(AND(E60&lt;2000,G60&gt;=2000),"▲ Iron 2",IF(AND(E60&gt;=14500,G60&lt;14500),"▼ Master",IF(AND(E60&gt;=13000,G60&lt;13000),"▼ Diamond",IF(AND(E60&gt;=11500,G60&lt;11500),"▼ Sapphire",IF(AND(E60&gt;=10000,G60&lt;10000),"▼ Platinum",IF(AND(E60&gt;=8500,G60&lt;8500),"▼ Gold",IF(AND(E60&gt;=7000,G60&lt;7000),"▼ Silver",IF(AND(E60&gt;=5500,G60&lt;5500),"▼ Bronze",IF(AND(E60&gt;=4000,G60&lt;4000),"▼ Iron 2",IF(AND(E60&gt;=2000,G60&lt;2000),"▼ Iron 1",""))))))))))))))))))),"")</f>
        <v>▲ Bronze</v>
      </c>
      <c r="I60" s="9"/>
    </row>
    <row r="61" spans="2:9" ht="25" customHeight="1" x14ac:dyDescent="0.25">
      <c r="B61" s="26">
        <v>4049</v>
      </c>
      <c r="C61" s="83"/>
      <c r="D61" s="1" t="s">
        <v>38</v>
      </c>
      <c r="E61" s="13">
        <v>4049</v>
      </c>
      <c r="F61" s="51">
        <v>30</v>
      </c>
      <c r="G61" s="14">
        <v>4079</v>
      </c>
      <c r="H61" s="36" t="str">
        <f>IFERROR(IF(OR(C59=0,E61=""),"",IF(AND(E61&lt;13000,G61&gt;=13000),"▲ Master",IF(AND(E61&lt;14500,G61&gt;=14500),"▲ Grandmaster",IF(AND(E61&lt;11500,G61&gt;=11500),"▲ Diamond",IF(AND(E61&lt;10000,G61&gt;=10000),"▲ Sapphire",IF(AND(E61&lt;8500,G61&gt;=8500),"▲ Platinum",IF(AND(E61&lt;7000,G61&gt;=7000),"▲ Gold",IF(AND(E61&lt;5500,G61&gt;=5500),"▲ Silver",IF(AND(E61&lt;4000,G61&gt;=4000),"▲ Bronze",IF(AND(E61&lt;2000,G61&gt;=2000),"▲ Iron 2",IF(AND(E61&gt;=14500,G61&lt;14500),"▼ Master",IF(AND(E61&gt;=13000,G61&lt;13000),"▼ Diamond",IF(AND(E61&gt;=11500,G61&lt;11500),"▼ Sapphire",IF(AND(E61&gt;=10000,G61&lt;10000),"▼ Platinum",IF(AND(E61&gt;=8500,G61&lt;8500),"▼ Gold",IF(AND(E61&gt;=7000,G61&lt;7000),"▼ Silver",IF(AND(E61&gt;=5500,G61&lt;5500),"▼ Bronze",IF(AND(E61&gt;=4000,G61&lt;4000),"▼ Iron 2",IF(AND(E61&gt;=2000,G61&lt;2000),"▼ Iron 1",""))))))))))))))))))),"")</f>
        <v/>
      </c>
      <c r="I61" s="9"/>
    </row>
    <row r="62" spans="2:9" ht="18" customHeight="1" x14ac:dyDescent="0.2">
      <c r="B62" s="9"/>
      <c r="C62" s="30"/>
      <c r="D62" s="16"/>
      <c r="E62" s="15"/>
      <c r="F62" s="15"/>
      <c r="G62" s="15"/>
      <c r="H62" s="37"/>
      <c r="I62" s="9"/>
    </row>
    <row r="63" spans="2:9" ht="25" customHeight="1" x14ac:dyDescent="0.25">
      <c r="B63" s="26">
        <v>3802</v>
      </c>
      <c r="C63" s="84">
        <v>3</v>
      </c>
      <c r="D63" s="1" t="s">
        <v>39</v>
      </c>
      <c r="E63" s="13">
        <v>3219</v>
      </c>
      <c r="F63" s="52">
        <v>-61</v>
      </c>
      <c r="G63" s="14">
        <v>3158</v>
      </c>
      <c r="H63" s="36" t="str">
        <f>IFERROR(IF(OR(C63=0,E63=""),"",IF(AND(E63&lt;13000,G63&gt;=13000),"▲ Master",IF(AND(E63&lt;14500,G63&gt;=14500),"▲ Grandmaster",IF(AND(E63&lt;11500,G63&gt;=11500),"▲ Diamond",IF(AND(E63&lt;10000,G63&gt;=10000),"▲ Sapphire",IF(AND(E63&lt;8500,G63&gt;=8500),"▲ Platinum",IF(AND(E63&lt;7000,G63&gt;=7000),"▲ Gold",IF(AND(E63&lt;5500,G63&gt;=5500),"▲ Silver",IF(AND(E63&lt;4000,G63&gt;=4000),"▲ Bronze",IF(AND(E63&lt;2000,G63&gt;=2000),"▲ Iron 2",IF(AND(E63&gt;=14500,G63&lt;14500),"▼ Master",IF(AND(E63&gt;=13000,G63&lt;13000),"▼ Diamond",IF(AND(E63&gt;=11500,G63&lt;11500),"▼ Sapphire",IF(AND(E63&gt;=10000,G63&lt;10000),"▼ Platinum",IF(AND(E63&gt;=8500,G63&lt;8500),"▼ Gold",IF(AND(E63&gt;=7000,G63&lt;7000),"▼ Silver",IF(AND(E63&gt;=5500,G63&lt;5500),"▼ Bronze",IF(AND(E63&gt;=4000,G63&lt;4000),"▼ Iron 2",IF(AND(E63&gt;=2000,G63&lt;2000),"▼ Iron 1",""))))))))))))))))))),"")</f>
        <v/>
      </c>
      <c r="I63" s="9"/>
    </row>
    <row r="64" spans="2:9" ht="25" customHeight="1" x14ac:dyDescent="0.25">
      <c r="B64" s="26">
        <v>3521</v>
      </c>
      <c r="C64" s="82"/>
      <c r="D64" s="1" t="s">
        <v>40</v>
      </c>
      <c r="E64" s="13">
        <v>3182</v>
      </c>
      <c r="F64" s="52">
        <v>-61</v>
      </c>
      <c r="G64" s="14">
        <v>3121</v>
      </c>
      <c r="H64" s="36" t="str">
        <f>IFERROR(IF(OR(C63=0,E64=""),"",IF(AND(E64&lt;13000,G64&gt;=13000),"▲ Master",IF(AND(E64&lt;14500,G64&gt;=14500),"▲ Grandmaster",IF(AND(E64&lt;11500,G64&gt;=11500),"▲ Diamond",IF(AND(E64&lt;10000,G64&gt;=10000),"▲ Sapphire",IF(AND(E64&lt;8500,G64&gt;=8500),"▲ Platinum",IF(AND(E64&lt;7000,G64&gt;=7000),"▲ Gold",IF(AND(E64&lt;5500,G64&gt;=5500),"▲ Silver",IF(AND(E64&lt;4000,G64&gt;=4000),"▲ Bronze",IF(AND(E64&lt;2000,G64&gt;=2000),"▲ Iron 2",IF(AND(E64&gt;=14500,G64&lt;14500),"▼ Master",IF(AND(E64&gt;=13000,G64&lt;13000),"▼ Diamond",IF(AND(E64&gt;=11500,G64&lt;11500),"▼ Sapphire",IF(AND(E64&gt;=10000,G64&lt;10000),"▼ Platinum",IF(AND(E64&gt;=8500,G64&lt;8500),"▼ Gold",IF(AND(E64&gt;=7000,G64&lt;7000),"▼ Silver",IF(AND(E64&gt;=5500,G64&lt;5500),"▼ Bronze",IF(AND(E64&gt;=4000,G64&lt;4000),"▼ Iron 2",IF(AND(E64&gt;=2000,G64&lt;2000),"▼ Iron 1",""))))))))))))))))))),"")</f>
        <v/>
      </c>
      <c r="I64" s="9"/>
    </row>
    <row r="65" spans="2:9" ht="25" customHeight="1" x14ac:dyDescent="0.25">
      <c r="B65" s="26">
        <v>4869</v>
      </c>
      <c r="C65" s="83"/>
      <c r="D65" s="1" t="s">
        <v>41</v>
      </c>
      <c r="E65" s="13">
        <v>3745</v>
      </c>
      <c r="F65" s="52">
        <v>-61</v>
      </c>
      <c r="G65" s="14">
        <v>3684</v>
      </c>
      <c r="H65" s="36" t="str">
        <f>IFERROR(IF(OR(C63=0,E65=""),"",IF(AND(E65&lt;13000,G65&gt;=13000),"▲ Master",IF(AND(E65&lt;14500,G65&gt;=14500),"▲ Grandmaster",IF(AND(E65&lt;11500,G65&gt;=11500),"▲ Diamond",IF(AND(E65&lt;10000,G65&gt;=10000),"▲ Sapphire",IF(AND(E65&lt;8500,G65&gt;=8500),"▲ Platinum",IF(AND(E65&lt;7000,G65&gt;=7000),"▲ Gold",IF(AND(E65&lt;5500,G65&gt;=5500),"▲ Silver",IF(AND(E65&lt;4000,G65&gt;=4000),"▲ Bronze",IF(AND(E65&lt;2000,G65&gt;=2000),"▲ Iron 2",IF(AND(E65&gt;=14500,G65&lt;14500),"▼ Master",IF(AND(E65&gt;=13000,G65&lt;13000),"▼ Diamond",IF(AND(E65&gt;=11500,G65&lt;11500),"▼ Sapphire",IF(AND(E65&gt;=10000,G65&lt;10000),"▼ Platinum",IF(AND(E65&gt;=8500,G65&lt;8500),"▼ Gold",IF(AND(E65&gt;=7000,G65&lt;7000),"▼ Silver",IF(AND(E65&gt;=5500,G65&lt;5500),"▼ Bronze",IF(AND(E65&gt;=4000,G65&lt;4000),"▼ Iron 2",IF(AND(E65&gt;=2000,G65&lt;2000),"▼ Iron 1",""))))))))))))))))))),"")</f>
        <v/>
      </c>
      <c r="I65" s="9"/>
    </row>
    <row r="66" spans="2:9" ht="18" customHeight="1" x14ac:dyDescent="0.2">
      <c r="B66" s="9"/>
      <c r="C66" s="30"/>
      <c r="D66" s="16"/>
      <c r="E66" s="15"/>
      <c r="F66" s="15"/>
      <c r="G66" s="15"/>
      <c r="H66" s="37"/>
      <c r="I66" s="9"/>
    </row>
    <row r="67" spans="2:9" ht="25" customHeight="1" x14ac:dyDescent="0.25">
      <c r="B67" s="26">
        <v>4540</v>
      </c>
      <c r="C67" s="84">
        <v>4</v>
      </c>
      <c r="D67" s="1" t="s">
        <v>42</v>
      </c>
      <c r="E67" s="13">
        <v>4073</v>
      </c>
      <c r="F67" s="53">
        <v>-140</v>
      </c>
      <c r="G67" s="14">
        <v>3933</v>
      </c>
      <c r="H67" s="36" t="str">
        <f>IFERROR(IF(OR(C67=0,E67=""),"",IF(AND(E67&lt;13000,G67&gt;=13000),"▲ Master",IF(AND(E67&lt;14500,G67&gt;=14500),"▲ Grandmaster",IF(AND(E67&lt;11500,G67&gt;=11500),"▲ Diamond",IF(AND(E67&lt;10000,G67&gt;=10000),"▲ Sapphire",IF(AND(E67&lt;8500,G67&gt;=8500),"▲ Platinum",IF(AND(E67&lt;7000,G67&gt;=7000),"▲ Gold",IF(AND(E67&lt;5500,G67&gt;=5500),"▲ Silver",IF(AND(E67&lt;4000,G67&gt;=4000),"▲ Bronze",IF(AND(E67&lt;2000,G67&gt;=2000),"▲ Iron 2",IF(AND(E67&gt;=14500,G67&lt;14500),"▼ Master",IF(AND(E67&gt;=13000,G67&lt;13000),"▼ Diamond",IF(AND(E67&gt;=11500,G67&lt;11500),"▼ Sapphire",IF(AND(E67&gt;=10000,G67&lt;10000),"▼ Platinum",IF(AND(E67&gt;=8500,G67&lt;8500),"▼ Gold",IF(AND(E67&gt;=7000,G67&lt;7000),"▼ Silver",IF(AND(E67&gt;=5500,G67&lt;5500),"▼ Bronze",IF(AND(E67&gt;=4000,G67&lt;4000),"▼ Iron 2",IF(AND(E67&gt;=2000,G67&lt;2000),"▼ Iron 1",""))))))))))))))))))),"")</f>
        <v>▼ Iron 2</v>
      </c>
      <c r="I67" s="9"/>
    </row>
    <row r="68" spans="2:9" ht="25" customHeight="1" x14ac:dyDescent="0.25">
      <c r="B68" s="26">
        <v>2222</v>
      </c>
      <c r="C68" s="82"/>
      <c r="D68" s="1" t="s">
        <v>43</v>
      </c>
      <c r="E68" s="13">
        <v>2020</v>
      </c>
      <c r="F68" s="53">
        <v>-140</v>
      </c>
      <c r="G68" s="14">
        <v>1880</v>
      </c>
      <c r="H68" s="36" t="str">
        <f>IFERROR(IF(OR(C67=0,E68=""),"",IF(AND(E68&lt;13000,G68&gt;=13000),"▲ Master",IF(AND(E68&lt;14500,G68&gt;=14500),"▲ Grandmaster",IF(AND(E68&lt;11500,G68&gt;=11500),"▲ Diamond",IF(AND(E68&lt;10000,G68&gt;=10000),"▲ Sapphire",IF(AND(E68&lt;8500,G68&gt;=8500),"▲ Platinum",IF(AND(E68&lt;7000,G68&gt;=7000),"▲ Gold",IF(AND(E68&lt;5500,G68&gt;=5500),"▲ Silver",IF(AND(E68&lt;4000,G68&gt;=4000),"▲ Bronze",IF(AND(E68&lt;2000,G68&gt;=2000),"▲ Iron 2",IF(AND(E68&gt;=14500,G68&lt;14500),"▼ Master",IF(AND(E68&gt;=13000,G68&lt;13000),"▼ Diamond",IF(AND(E68&gt;=11500,G68&lt;11500),"▼ Sapphire",IF(AND(E68&gt;=10000,G68&lt;10000),"▼ Platinum",IF(AND(E68&gt;=8500,G68&lt;8500),"▼ Gold",IF(AND(E68&gt;=7000,G68&lt;7000),"▼ Silver",IF(AND(E68&gt;=5500,G68&lt;5500),"▼ Bronze",IF(AND(E68&gt;=4000,G68&lt;4000),"▼ Iron 2",IF(AND(E68&gt;=2000,G68&lt;2000),"▼ Iron 1",""))))))))))))))))))),"")</f>
        <v>▼ Iron 1</v>
      </c>
      <c r="I68" s="9"/>
    </row>
    <row r="69" spans="2:9" ht="25" customHeight="1" x14ac:dyDescent="0.25">
      <c r="B69" s="26">
        <v>2470</v>
      </c>
      <c r="C69" s="83"/>
      <c r="D69" s="1" t="s">
        <v>44</v>
      </c>
      <c r="E69" s="13">
        <v>2281</v>
      </c>
      <c r="F69" s="53">
        <v>-140</v>
      </c>
      <c r="G69" s="14">
        <v>2141</v>
      </c>
      <c r="H69" s="36" t="str">
        <f>IFERROR(IF(OR(C67=0,E69=""),"",IF(AND(E69&lt;13000,G69&gt;=13000),"▲ Master",IF(AND(E69&lt;14500,G69&gt;=14500),"▲ Grandmaster",IF(AND(E69&lt;11500,G69&gt;=11500),"▲ Diamond",IF(AND(E69&lt;10000,G69&gt;=10000),"▲ Sapphire",IF(AND(E69&lt;8500,G69&gt;=8500),"▲ Platinum",IF(AND(E69&lt;7000,G69&gt;=7000),"▲ Gold",IF(AND(E69&lt;5500,G69&gt;=5500),"▲ Silver",IF(AND(E69&lt;4000,G69&gt;=4000),"▲ Bronze",IF(AND(E69&lt;2000,G69&gt;=2000),"▲ Iron 2",IF(AND(E69&gt;=14500,G69&lt;14500),"▼ Master",IF(AND(E69&gt;=13000,G69&lt;13000),"▼ Diamond",IF(AND(E69&gt;=11500,G69&lt;11500),"▼ Sapphire",IF(AND(E69&gt;=10000,G69&lt;10000),"▼ Platinum",IF(AND(E69&gt;=8500,G69&lt;8500),"▼ Gold",IF(AND(E69&gt;=7000,G69&lt;7000),"▼ Silver",IF(AND(E69&gt;=5500,G69&lt;5500),"▼ Bronze",IF(AND(E69&gt;=4000,G69&lt;4000),"▼ Iron 2",IF(AND(E69&gt;=2000,G69&lt;2000),"▼ Iron 1",""))))))))))))))))))),"")</f>
        <v/>
      </c>
      <c r="I69" s="9"/>
    </row>
    <row r="70" spans="2:9" ht="25.5" customHeight="1" thickBot="1" x14ac:dyDescent="0.25">
      <c r="B70" s="9"/>
      <c r="C70" s="31" t="s">
        <v>21</v>
      </c>
      <c r="D70" s="73">
        <v>12</v>
      </c>
      <c r="E70" s="92" t="s">
        <v>22</v>
      </c>
      <c r="F70" s="78"/>
      <c r="G70" s="78"/>
      <c r="H70" s="34">
        <v>12190</v>
      </c>
      <c r="I70" s="9"/>
    </row>
    <row r="71" spans="2:9" ht="15.75" customHeight="1" thickTop="1" thickBot="1" x14ac:dyDescent="0.25">
      <c r="B71" s="9"/>
      <c r="C71" s="9"/>
      <c r="D71" s="9"/>
      <c r="E71" s="9"/>
      <c r="F71" s="9"/>
      <c r="G71" s="9"/>
      <c r="H71" s="9"/>
      <c r="I71" s="9"/>
    </row>
    <row r="72" spans="2:9" ht="41.25" customHeight="1" thickTop="1" thickBot="1" x14ac:dyDescent="0.25">
      <c r="B72" s="9"/>
      <c r="C72" s="90" t="s">
        <v>45</v>
      </c>
      <c r="D72" s="91"/>
      <c r="E72" s="85" t="s">
        <v>46</v>
      </c>
      <c r="F72" s="86"/>
      <c r="G72" s="86"/>
      <c r="H72" s="87"/>
      <c r="I72" s="9"/>
    </row>
    <row r="73" spans="2:9" ht="26.25" customHeight="1" thickTop="1" thickBot="1" x14ac:dyDescent="0.25">
      <c r="B73" s="9"/>
      <c r="C73" s="32" t="s">
        <v>2</v>
      </c>
      <c r="D73" s="27" t="s">
        <v>3</v>
      </c>
      <c r="E73" s="27" t="s">
        <v>4</v>
      </c>
      <c r="F73" s="27" t="s">
        <v>5</v>
      </c>
      <c r="G73" s="27" t="s">
        <v>6</v>
      </c>
      <c r="H73" s="54" t="s">
        <v>7</v>
      </c>
      <c r="I73" s="9"/>
    </row>
    <row r="74" spans="2:9" ht="25" customHeight="1" thickTop="1" x14ac:dyDescent="0.2">
      <c r="B74" s="26">
        <v>9127</v>
      </c>
      <c r="C74" s="81">
        <v>1</v>
      </c>
      <c r="D74" s="63" t="s">
        <v>47</v>
      </c>
      <c r="E74" s="24">
        <v>8494</v>
      </c>
      <c r="F74" s="59">
        <v>114</v>
      </c>
      <c r="G74" s="29">
        <v>8608</v>
      </c>
      <c r="H74" s="35" t="str">
        <f>IFERROR(IF(OR(C74=0,E74=""),"",IF(AND(E74&lt;13000,G74&gt;=13000),"▲ Master",IF(AND(E74&lt;14500,G74&gt;=14500),"▲ Grandmaster",IF(AND(E74&lt;11500,G74&gt;=11500),"▲ Diamond",IF(AND(E74&lt;10000,G74&gt;=10000),"▲ Sapphire",IF(AND(E74&lt;8500,G74&gt;=8500),"▲ Platinum",IF(AND(E74&lt;7000,G74&gt;=7000),"▲ Gold",IF(AND(E74&lt;5500,G74&gt;=5500),"▲ Silver",IF(AND(E74&lt;4000,G74&gt;=4000),"▲ Bronze",IF(AND(E74&lt;2000,G74&gt;=2000),"▲ Iron 2",IF(AND(E74&gt;=14500,G74&lt;14500),"▼ Master",IF(AND(E74&gt;=13000,G74&lt;13000),"▼ Diamond",IF(AND(E74&gt;=11500,G74&lt;11500),"▼ Sapphire",IF(AND(E74&gt;=10000,G74&lt;10000),"▼ Platinum",IF(AND(E74&gt;=8500,G74&lt;8500),"▼ Gold",IF(AND(E74&gt;=7000,G74&lt;7000),"▼ Silver",IF(AND(E74&gt;=5500,G74&lt;5500),"▼ Bronze",IF(AND(E74&gt;=4000,G74&lt;4000),"▼ Iron 2",IF(AND(E74&gt;=2000,G74&lt;2000),"▼ Iron 1",""))))))))))))))))))),"")</f>
        <v>▲ Platinum</v>
      </c>
      <c r="I74" s="9"/>
    </row>
    <row r="75" spans="2:9" ht="25" customHeight="1" x14ac:dyDescent="0.2">
      <c r="B75" s="26">
        <v>9996</v>
      </c>
      <c r="C75" s="82"/>
      <c r="D75" s="64" t="s">
        <v>48</v>
      </c>
      <c r="E75" s="13">
        <v>9907</v>
      </c>
      <c r="F75" s="60">
        <v>114</v>
      </c>
      <c r="G75" s="14">
        <v>10021</v>
      </c>
      <c r="H75" s="36" t="str">
        <f>IFERROR(IF(OR(C74=0,E75=""),"",IF(AND(E75&lt;13000,G75&gt;=13000),"▲ Master",IF(AND(E75&lt;14500,G75&gt;=14500),"▲ Grandmaster",IF(AND(E75&lt;11500,G75&gt;=11500),"▲ Diamond",IF(AND(E75&lt;10000,G75&gt;=10000),"▲ Sapphire",IF(AND(E75&lt;8500,G75&gt;=8500),"▲ Platinum",IF(AND(E75&lt;7000,G75&gt;=7000),"▲ Gold",IF(AND(E75&lt;5500,G75&gt;=5500),"▲ Silver",IF(AND(E75&lt;4000,G75&gt;=4000),"▲ Bronze",IF(AND(E75&lt;2000,G75&gt;=2000),"▲ Iron 2",IF(AND(E75&gt;=14500,G75&lt;14500),"▼ Master",IF(AND(E75&gt;=13000,G75&lt;13000),"▼ Diamond",IF(AND(E75&gt;=11500,G75&lt;11500),"▼ Sapphire",IF(AND(E75&gt;=10000,G75&lt;10000),"▼ Platinum",IF(AND(E75&gt;=8500,G75&lt;8500),"▼ Gold",IF(AND(E75&gt;=7000,G75&lt;7000),"▼ Silver",IF(AND(E75&gt;=5500,G75&lt;5500),"▼ Bronze",IF(AND(E75&gt;=4000,G75&lt;4000),"▼ Iron 2",IF(AND(E75&gt;=2000,G75&lt;2000),"▼ Iron 1",""))))))))))))))))))),"")</f>
        <v>▲ Sapphire</v>
      </c>
      <c r="I75" s="9"/>
    </row>
    <row r="76" spans="2:9" ht="25" customHeight="1" x14ac:dyDescent="0.2">
      <c r="B76" s="26">
        <v>7781</v>
      </c>
      <c r="C76" s="82"/>
      <c r="D76" s="64" t="s">
        <v>49</v>
      </c>
      <c r="E76" s="13">
        <v>7640</v>
      </c>
      <c r="F76" s="60">
        <v>114</v>
      </c>
      <c r="G76" s="14">
        <v>7754</v>
      </c>
      <c r="H76" s="36" t="str">
        <f>IFERROR(IF(OR(C74=0,E76=""),"",IF(AND(E76&lt;13000,G76&gt;=13000),"▲ Master",IF(AND(E76&lt;14500,G76&gt;=14500),"▲ Grandmaster",IF(AND(E76&lt;11500,G76&gt;=11500),"▲ Diamond",IF(AND(E76&lt;10000,G76&gt;=10000),"▲ Sapphire",IF(AND(E76&lt;8500,G76&gt;=8500),"▲ Platinum",IF(AND(E76&lt;7000,G76&gt;=7000),"▲ Gold",IF(AND(E76&lt;5500,G76&gt;=5500),"▲ Silver",IF(AND(E76&lt;4000,G76&gt;=4000),"▲ Bronze",IF(AND(E76&lt;2000,G76&gt;=2000),"▲ Iron 2",IF(AND(E76&gt;=14500,G76&lt;14500),"▼ Master",IF(AND(E76&gt;=13000,G76&lt;13000),"▼ Diamond",IF(AND(E76&gt;=11500,G76&lt;11500),"▼ Sapphire",IF(AND(E76&gt;=10000,G76&lt;10000),"▼ Platinum",IF(AND(E76&gt;=8500,G76&lt;8500),"▼ Gold",IF(AND(E76&gt;=7000,G76&lt;7000),"▼ Silver",IF(AND(E76&gt;=5500,G76&lt;5500),"▼ Bronze",IF(AND(E76&gt;=4000,G76&lt;4000),"▼ Iron 2",IF(AND(E76&gt;=2000,G76&lt;2000),"▼ Iron 1",""))))))))))))))))))),"")</f>
        <v/>
      </c>
      <c r="I76" s="9"/>
    </row>
    <row r="77" spans="2:9" ht="25" customHeight="1" x14ac:dyDescent="0.2">
      <c r="B77" s="26">
        <v>10209</v>
      </c>
      <c r="C77" s="83"/>
      <c r="D77" s="64" t="s">
        <v>50</v>
      </c>
      <c r="E77" s="13">
        <v>9421</v>
      </c>
      <c r="F77" s="60">
        <v>114</v>
      </c>
      <c r="G77" s="14">
        <v>9535</v>
      </c>
      <c r="H77" s="36" t="str">
        <f>IFERROR(IF(OR(C74=0,E77=""),"",IF(AND(E77&lt;13000,G77&gt;=13000),"▲ Master",IF(AND(E77&lt;14500,G77&gt;=14500),"▲ Grandmaster",IF(AND(E77&lt;11500,G77&gt;=11500),"▲ Diamond",IF(AND(E77&lt;10000,G77&gt;=10000),"▲ Sapphire",IF(AND(E77&lt;8500,G77&gt;=8500),"▲ Platinum",IF(AND(E77&lt;7000,G77&gt;=7000),"▲ Gold",IF(AND(E77&lt;5500,G77&gt;=5500),"▲ Silver",IF(AND(E77&lt;4000,G77&gt;=4000),"▲ Bronze",IF(AND(E77&lt;2000,G77&gt;=2000),"▲ Iron 2",IF(AND(E77&gt;=14500,G77&lt;14500),"▼ Master",IF(AND(E77&gt;=13000,G77&lt;13000),"▼ Diamond",IF(AND(E77&gt;=11500,G77&lt;11500),"▼ Sapphire",IF(AND(E77&gt;=10000,G77&lt;10000),"▼ Platinum",IF(AND(E77&gt;=8500,G77&lt;8500),"▼ Gold",IF(AND(E77&gt;=7000,G77&lt;7000),"▼ Silver",IF(AND(E77&gt;=5500,G77&lt;5500),"▼ Bronze",IF(AND(E77&gt;=4000,G77&lt;4000),"▼ Iron 2",IF(AND(E77&gt;=2000,G77&lt;2000),"▼ Iron 1",""))))))))))))))))))),"")</f>
        <v/>
      </c>
      <c r="I77" s="9"/>
    </row>
    <row r="78" spans="2:9" ht="24.75" customHeight="1" x14ac:dyDescent="0.2">
      <c r="B78" s="26"/>
      <c r="C78" s="30"/>
      <c r="D78" s="65"/>
      <c r="E78" s="15"/>
      <c r="F78" s="15"/>
      <c r="G78" s="15"/>
      <c r="H78" s="56"/>
      <c r="I78" s="9"/>
    </row>
    <row r="79" spans="2:9" ht="25" customHeight="1" x14ac:dyDescent="0.2">
      <c r="B79" s="26">
        <v>7591</v>
      </c>
      <c r="C79" s="84">
        <v>2</v>
      </c>
      <c r="D79" s="64" t="s">
        <v>51</v>
      </c>
      <c r="E79" s="13">
        <v>7591</v>
      </c>
      <c r="F79" s="61">
        <v>2</v>
      </c>
      <c r="G79" s="14">
        <v>7593</v>
      </c>
      <c r="H79" s="55" t="str">
        <f>IFERROR(IF(OR(C79=0,E79=""),"",IF(AND(E79&lt;13000,G79&gt;=13000),"▲ Master",IF(AND(E79&lt;14500,G79&gt;=14500),"▲ Grandmaster",IF(AND(E79&lt;11500,G79&gt;=11500),"▲ Diamond",IF(AND(E79&lt;10000,G79&gt;=10000),"▲ Sapphire",IF(AND(E79&lt;8500,G79&gt;=8500),"▲ Platinum",IF(AND(E79&lt;7000,G79&gt;=7000),"▲ Gold",IF(AND(E79&lt;5500,G79&gt;=5500),"▲ Silver",IF(AND(E79&lt;4000,G79&gt;=4000),"▲ Bronze",IF(AND(E79&lt;2000,G79&gt;=2000),"▲ Iron 2",IF(AND(E79&gt;=14500,G79&lt;14500),"▼ Master",IF(AND(E79&gt;=13000,G79&lt;13000),"▼ Diamond",IF(AND(E79&gt;=11500,G79&lt;11500),"▼ Sapphire",IF(AND(E79&gt;=10000,G79&lt;10000),"▼ Platinum",IF(AND(E79&gt;=8500,G79&lt;8500),"▼ Gold",IF(AND(E79&gt;=7000,G79&lt;7000),"▼ Silver",IF(AND(E79&gt;=5500,G79&lt;5500),"▼ Bronze",IF(AND(E79&gt;=4000,G79&lt;4000),"▼ Iron 2",IF(AND(E79&gt;=2000,G79&lt;2000),"▼ Iron 1",""))))))))))))))))))),"")</f>
        <v/>
      </c>
      <c r="I79" s="9"/>
    </row>
    <row r="80" spans="2:9" ht="25" customHeight="1" x14ac:dyDescent="0.2">
      <c r="B80" s="26">
        <v>8063</v>
      </c>
      <c r="C80" s="82"/>
      <c r="D80" s="64" t="s">
        <v>52</v>
      </c>
      <c r="E80" s="13">
        <v>8040</v>
      </c>
      <c r="F80" s="61">
        <v>2</v>
      </c>
      <c r="G80" s="14">
        <v>8042</v>
      </c>
      <c r="H80" s="55" t="str">
        <f>IFERROR(IF(OR(C79=0,E80=""),"",IF(AND(E80&lt;13000,G80&gt;=13000),"▲ Master",IF(AND(E80&lt;14500,G80&gt;=14500),"▲ Grandmaster",IF(AND(E80&lt;11500,G80&gt;=11500),"▲ Diamond",IF(AND(E80&lt;10000,G80&gt;=10000),"▲ Sapphire",IF(AND(E80&lt;8500,G80&gt;=8500),"▲ Platinum",IF(AND(E80&lt;7000,G80&gt;=7000),"▲ Gold",IF(AND(E80&lt;5500,G80&gt;=5500),"▲ Silver",IF(AND(E80&lt;4000,G80&gt;=4000),"▲ Bronze",IF(AND(E80&lt;2000,G80&gt;=2000),"▲ Iron 2",IF(AND(E80&gt;=14500,G80&lt;14500),"▼ Master",IF(AND(E80&gt;=13000,G80&lt;13000),"▼ Diamond",IF(AND(E80&gt;=11500,G80&lt;11500),"▼ Sapphire",IF(AND(E80&gt;=10000,G80&lt;10000),"▼ Platinum",IF(AND(E80&gt;=8500,G80&lt;8500),"▼ Gold",IF(AND(E80&gt;=7000,G80&lt;7000),"▼ Silver",IF(AND(E80&gt;=5500,G80&lt;5500),"▼ Bronze",IF(AND(E80&gt;=4000,G80&lt;4000),"▼ Iron 2",IF(AND(E80&gt;=2000,G80&lt;2000),"▼ Iron 1",""))))))))))))))))))),"")</f>
        <v/>
      </c>
      <c r="I80" s="9"/>
    </row>
    <row r="81" spans="2:9" ht="25" customHeight="1" x14ac:dyDescent="0.2">
      <c r="B81" s="26">
        <v>9714</v>
      </c>
      <c r="C81" s="82"/>
      <c r="D81" s="64" t="s">
        <v>53</v>
      </c>
      <c r="E81" s="13">
        <v>9564</v>
      </c>
      <c r="F81" s="61">
        <v>2</v>
      </c>
      <c r="G81" s="14">
        <v>9566</v>
      </c>
      <c r="H81" s="55" t="str">
        <f>IFERROR(IF(OR(C79=0,E81=""),"",IF(AND(E81&lt;13000,G81&gt;=13000),"▲ Master",IF(AND(E81&lt;14500,G81&gt;=14500),"▲ Grandmaster",IF(AND(E81&lt;11500,G81&gt;=11500),"▲ Diamond",IF(AND(E81&lt;10000,G81&gt;=10000),"▲ Sapphire",IF(AND(E81&lt;8500,G81&gt;=8500),"▲ Platinum",IF(AND(E81&lt;7000,G81&gt;=7000),"▲ Gold",IF(AND(E81&lt;5500,G81&gt;=5500),"▲ Silver",IF(AND(E81&lt;4000,G81&gt;=4000),"▲ Bronze",IF(AND(E81&lt;2000,G81&gt;=2000),"▲ Iron 2",IF(AND(E81&gt;=14500,G81&lt;14500),"▼ Master",IF(AND(E81&gt;=13000,G81&lt;13000),"▼ Diamond",IF(AND(E81&gt;=11500,G81&lt;11500),"▼ Sapphire",IF(AND(E81&gt;=10000,G81&lt;10000),"▼ Platinum",IF(AND(E81&gt;=8500,G81&lt;8500),"▼ Gold",IF(AND(E81&gt;=7000,G81&lt;7000),"▼ Silver",IF(AND(E81&gt;=5500,G81&lt;5500),"▼ Bronze",IF(AND(E81&gt;=4000,G81&lt;4000),"▼ Iron 2",IF(AND(E81&gt;=2000,G81&lt;2000),"▼ Iron 1",""))))))))))))))))))),"")</f>
        <v/>
      </c>
      <c r="I81" s="9"/>
    </row>
    <row r="82" spans="2:9" ht="25" customHeight="1" x14ac:dyDescent="0.2">
      <c r="B82" s="26">
        <v>7555</v>
      </c>
      <c r="C82" s="83"/>
      <c r="D82" s="64" t="s">
        <v>54</v>
      </c>
      <c r="E82" s="13">
        <v>7555</v>
      </c>
      <c r="F82" s="61">
        <v>2</v>
      </c>
      <c r="G82" s="14">
        <v>7557</v>
      </c>
      <c r="H82" s="55" t="str">
        <f>IFERROR(IF(OR(C79=0,E82=""),"",IF(AND(E82&lt;13000,G82&gt;=13000),"▲ Master",IF(AND(E82&lt;14500,G82&gt;=14500),"▲ Grandmaster",IF(AND(E82&lt;11500,G82&gt;=11500),"▲ Diamond",IF(AND(E82&lt;10000,G82&gt;=10000),"▲ Sapphire",IF(AND(E82&lt;8500,G82&gt;=8500),"▲ Platinum",IF(AND(E82&lt;7000,G82&gt;=7000),"▲ Gold",IF(AND(E82&lt;5500,G82&gt;=5500),"▲ Silver",IF(AND(E82&lt;4000,G82&gt;=4000),"▲ Bronze",IF(AND(E82&lt;2000,G82&gt;=2000),"▲ Iron 2",IF(AND(E82&gt;=14500,G82&lt;14500),"▼ Master",IF(AND(E82&gt;=13000,G82&lt;13000),"▼ Diamond",IF(AND(E82&gt;=11500,G82&lt;11500),"▼ Sapphire",IF(AND(E82&gt;=10000,G82&lt;10000),"▼ Platinum",IF(AND(E82&gt;=8500,G82&lt;8500),"▼ Gold",IF(AND(E82&gt;=7000,G82&lt;7000),"▼ Silver",IF(AND(E82&gt;=5500,G82&lt;5500),"▼ Bronze",IF(AND(E82&gt;=4000,G82&lt;4000),"▼ Iron 2",IF(AND(E82&gt;=2000,G82&lt;2000),"▼ Iron 1",""))))))))))))))))))),"")</f>
        <v/>
      </c>
      <c r="I82" s="9"/>
    </row>
    <row r="83" spans="2:9" ht="24.75" customHeight="1" x14ac:dyDescent="0.2">
      <c r="B83" s="26"/>
      <c r="C83" s="30"/>
      <c r="D83" s="65"/>
      <c r="E83" s="15"/>
      <c r="F83" s="15"/>
      <c r="G83" s="15"/>
      <c r="H83" s="56"/>
      <c r="I83" s="9"/>
    </row>
    <row r="84" spans="2:9" ht="25" customHeight="1" x14ac:dyDescent="0.2">
      <c r="B84" s="26">
        <v>7594</v>
      </c>
      <c r="C84" s="84">
        <v>3</v>
      </c>
      <c r="D84" s="64" t="s">
        <v>55</v>
      </c>
      <c r="E84" s="13">
        <v>7594</v>
      </c>
      <c r="F84" s="62">
        <v>-116</v>
      </c>
      <c r="G84" s="14">
        <v>7478</v>
      </c>
      <c r="H84" s="55" t="str">
        <f>IFERROR(IF(OR(C84=0,E84=""),"",IF(AND(E84&lt;13000,G84&gt;=13000),"▲ Master",IF(AND(E84&lt;14500,G84&gt;=14500),"▲ Grandmaster",IF(AND(E84&lt;11500,G84&gt;=11500),"▲ Diamond",IF(AND(E84&lt;10000,G84&gt;=10000),"▲ Sapphire",IF(AND(E84&lt;8500,G84&gt;=8500),"▲ Platinum",IF(AND(E84&lt;7000,G84&gt;=7000),"▲ Gold",IF(AND(E84&lt;5500,G84&gt;=5500),"▲ Silver",IF(AND(E84&lt;4000,G84&gt;=4000),"▲ Bronze",IF(AND(E84&lt;2000,G84&gt;=2000),"▲ Iron 2",IF(AND(E84&gt;=14500,G84&lt;14500),"▼ Master",IF(AND(E84&gt;=13000,G84&lt;13000),"▼ Diamond",IF(AND(E84&gt;=11500,G84&lt;11500),"▼ Sapphire",IF(AND(E84&gt;=10000,G84&lt;10000),"▼ Platinum",IF(AND(E84&gt;=8500,G84&lt;8500),"▼ Gold",IF(AND(E84&gt;=7000,G84&lt;7000),"▼ Silver",IF(AND(E84&gt;=5500,G84&lt;5500),"▼ Bronze",IF(AND(E84&gt;=4000,G84&lt;4000),"▼ Iron 2",IF(AND(E84&gt;=2000,G84&lt;2000),"▼ Iron 1",""))))))))))))))))))),"")</f>
        <v/>
      </c>
      <c r="I84" s="9"/>
    </row>
    <row r="85" spans="2:9" ht="25" customHeight="1" x14ac:dyDescent="0.2">
      <c r="B85" s="26">
        <v>8189</v>
      </c>
      <c r="C85" s="82"/>
      <c r="D85" s="64" t="s">
        <v>56</v>
      </c>
      <c r="E85" s="13">
        <v>7689</v>
      </c>
      <c r="F85" s="62">
        <v>-116</v>
      </c>
      <c r="G85" s="14">
        <v>7573</v>
      </c>
      <c r="H85" s="55" t="str">
        <f>IFERROR(IF(OR(C84=0,E85=""),"",IF(AND(E85&lt;13000,G85&gt;=13000),"▲ Master",IF(AND(E85&lt;14500,G85&gt;=14500),"▲ Grandmaster",IF(AND(E85&lt;11500,G85&gt;=11500),"▲ Diamond",IF(AND(E85&lt;10000,G85&gt;=10000),"▲ Sapphire",IF(AND(E85&lt;8500,G85&gt;=8500),"▲ Platinum",IF(AND(E85&lt;7000,G85&gt;=7000),"▲ Gold",IF(AND(E85&lt;5500,G85&gt;=5500),"▲ Silver",IF(AND(E85&lt;4000,G85&gt;=4000),"▲ Bronze",IF(AND(E85&lt;2000,G85&gt;=2000),"▲ Iron 2",IF(AND(E85&gt;=14500,G85&lt;14500),"▼ Master",IF(AND(E85&gt;=13000,G85&lt;13000),"▼ Diamond",IF(AND(E85&gt;=11500,G85&lt;11500),"▼ Sapphire",IF(AND(E85&gt;=10000,G85&lt;10000),"▼ Platinum",IF(AND(E85&gt;=8500,G85&lt;8500),"▼ Gold",IF(AND(E85&gt;=7000,G85&lt;7000),"▼ Silver",IF(AND(E85&gt;=5500,G85&lt;5500),"▼ Bronze",IF(AND(E85&gt;=4000,G85&lt;4000),"▼ Iron 2",IF(AND(E85&gt;=2000,G85&lt;2000),"▼ Iron 1",""))))))))))))))))))),"")</f>
        <v/>
      </c>
      <c r="I85" s="9"/>
    </row>
    <row r="86" spans="2:9" ht="25" customHeight="1" x14ac:dyDescent="0.2">
      <c r="B86" s="26">
        <v>8956</v>
      </c>
      <c r="C86" s="82"/>
      <c r="D86" s="64" t="s">
        <v>57</v>
      </c>
      <c r="E86" s="13">
        <v>8049</v>
      </c>
      <c r="F86" s="62">
        <v>-116</v>
      </c>
      <c r="G86" s="14">
        <v>7933</v>
      </c>
      <c r="H86" s="55" t="str">
        <f>IFERROR(IF(OR(C84=0,E86=""),"",IF(AND(E86&lt;13000,G86&gt;=13000),"▲ Master",IF(AND(E86&lt;14500,G86&gt;=14500),"▲ Grandmaster",IF(AND(E86&lt;11500,G86&gt;=11500),"▲ Diamond",IF(AND(E86&lt;10000,G86&gt;=10000),"▲ Sapphire",IF(AND(E86&lt;8500,G86&gt;=8500),"▲ Platinum",IF(AND(E86&lt;7000,G86&gt;=7000),"▲ Gold",IF(AND(E86&lt;5500,G86&gt;=5500),"▲ Silver",IF(AND(E86&lt;4000,G86&gt;=4000),"▲ Bronze",IF(AND(E86&lt;2000,G86&gt;=2000),"▲ Iron 2",IF(AND(E86&gt;=14500,G86&lt;14500),"▼ Master",IF(AND(E86&gt;=13000,G86&lt;13000),"▼ Diamond",IF(AND(E86&gt;=11500,G86&lt;11500),"▼ Sapphire",IF(AND(E86&gt;=10000,G86&lt;10000),"▼ Platinum",IF(AND(E86&gt;=8500,G86&lt;8500),"▼ Gold",IF(AND(E86&gt;=7000,G86&lt;7000),"▼ Silver",IF(AND(E86&gt;=5500,G86&lt;5500),"▼ Bronze",IF(AND(E86&gt;=4000,G86&lt;4000),"▼ Iron 2",IF(AND(E86&gt;=2000,G86&lt;2000),"▼ Iron 1",""))))))))))))))))))),"")</f>
        <v/>
      </c>
      <c r="I86" s="9"/>
    </row>
    <row r="87" spans="2:9" ht="25" customHeight="1" x14ac:dyDescent="0.2">
      <c r="B87" s="26">
        <v>7345</v>
      </c>
      <c r="C87" s="83"/>
      <c r="D87" s="66" t="s">
        <v>58</v>
      </c>
      <c r="E87" s="13">
        <v>7082</v>
      </c>
      <c r="F87" s="62">
        <v>-116</v>
      </c>
      <c r="G87" s="14">
        <v>6966</v>
      </c>
      <c r="H87" s="55" t="str">
        <f>IFERROR(IF(OR(C84=0,E87=""),"",IF(AND(E87&lt;13000,G87&gt;=13000),"▲ Master",IF(AND(E87&lt;14500,G87&gt;=14500),"▲ Grandmaster",IF(AND(E87&lt;11500,G87&gt;=11500),"▲ Diamond",IF(AND(E87&lt;10000,G87&gt;=10000),"▲ Sapphire",IF(AND(E87&lt;8500,G87&gt;=8500),"▲ Platinum",IF(AND(E87&lt;7000,G87&gt;=7000),"▲ Gold",IF(AND(E87&lt;5500,G87&gt;=5500),"▲ Silver",IF(AND(E87&lt;4000,G87&gt;=4000),"▲ Bronze",IF(AND(E87&lt;2000,G87&gt;=2000),"▲ Iron 2",IF(AND(E87&gt;=14500,G87&lt;14500),"▼ Master",IF(AND(E87&gt;=13000,G87&lt;13000),"▼ Diamond",IF(AND(E87&gt;=11500,G87&lt;11500),"▼ Sapphire",IF(AND(E87&gt;=10000,G87&lt;10000),"▼ Platinum",IF(AND(E87&gt;=8500,G87&lt;8500),"▼ Gold",IF(AND(E87&gt;=7000,G87&lt;7000),"▼ Silver",IF(AND(E87&gt;=5500,G87&lt;5500),"▼ Bronze",IF(AND(E87&gt;=4000,G87&lt;4000),"▼ Iron 2",IF(AND(E87&gt;=2000,G87&lt;2000),"▼ Iron 1",""))))))))))))))))))),"")</f>
        <v>▼ Silver</v>
      </c>
      <c r="I87" s="9"/>
    </row>
    <row r="88" spans="2:9" ht="25.5" customHeight="1" thickBot="1" x14ac:dyDescent="0.25">
      <c r="B88" s="9"/>
      <c r="C88" s="57" t="s">
        <v>21</v>
      </c>
      <c r="D88" s="58">
        <v>12</v>
      </c>
      <c r="E88" s="88" t="s">
        <v>22</v>
      </c>
      <c r="F88" s="89"/>
      <c r="G88" s="89"/>
      <c r="H88" s="34">
        <v>11822</v>
      </c>
      <c r="I88" s="9"/>
    </row>
    <row r="89" spans="2:9" ht="15.75" customHeight="1" thickTop="1" thickBot="1" x14ac:dyDescent="0.25">
      <c r="B89" s="9"/>
      <c r="C89" s="9"/>
      <c r="D89" s="9"/>
      <c r="E89" s="9"/>
      <c r="F89" s="9"/>
      <c r="G89" s="9"/>
      <c r="H89" s="9"/>
      <c r="I89" s="9"/>
    </row>
    <row r="90" spans="2:9" ht="41.25" customHeight="1" thickTop="1" thickBot="1" x14ac:dyDescent="0.25">
      <c r="B90" s="9"/>
      <c r="C90" s="80" t="s">
        <v>59</v>
      </c>
      <c r="D90" s="76"/>
      <c r="E90" s="74" t="s">
        <v>60</v>
      </c>
      <c r="F90" s="75"/>
      <c r="G90" s="75"/>
      <c r="H90" s="76"/>
      <c r="I90" s="9"/>
    </row>
    <row r="91" spans="2:9" ht="25" customHeight="1" thickTop="1" thickBot="1" x14ac:dyDescent="0.25">
      <c r="B91" s="9"/>
      <c r="C91" s="32" t="s">
        <v>2</v>
      </c>
      <c r="D91" s="27" t="s">
        <v>3</v>
      </c>
      <c r="E91" s="27" t="s">
        <v>4</v>
      </c>
      <c r="F91" s="27" t="s">
        <v>5</v>
      </c>
      <c r="G91" s="27" t="s">
        <v>6</v>
      </c>
      <c r="H91" s="33" t="s">
        <v>7</v>
      </c>
      <c r="I91" s="9"/>
    </row>
    <row r="92" spans="2:9" ht="25" customHeight="1" thickTop="1" x14ac:dyDescent="0.25">
      <c r="B92" s="9">
        <v>3958</v>
      </c>
      <c r="C92" s="81">
        <v>1</v>
      </c>
      <c r="D92" s="70" t="s">
        <v>61</v>
      </c>
      <c r="E92" s="68">
        <v>3724</v>
      </c>
      <c r="F92" s="67">
        <v>89</v>
      </c>
      <c r="G92" s="29">
        <v>3813</v>
      </c>
      <c r="H92" s="35" t="str">
        <f>IFERROR(IF(OR(C92=0,E92=""),"",IF(AND(E92&lt;13000,G92&gt;=13000),"▲ Master",IF(AND(E92&lt;14500,G92&gt;=14500),"▲ Grandmaster",IF(AND(E92&lt;11500,G92&gt;=11500),"▲ Diamond",IF(AND(E92&lt;10000,G92&gt;=10000),"▲ Sapphire",IF(AND(E92&lt;8500,G92&gt;=8500),"▲ Platinum",IF(AND(E92&lt;7000,G92&gt;=7000),"▲ Gold",IF(AND(E92&lt;5500,G92&gt;=5500),"▲ Silver",IF(AND(E92&lt;4000,G92&gt;=4000),"▲ Bronze",IF(AND(E92&lt;2000,G92&gt;=2000),"▲ Iron 2",IF(AND(E92&gt;=14500,G92&lt;14500),"▼ Master",IF(AND(E92&gt;=13000,G92&lt;13000),"▼ Diamond",IF(AND(E92&gt;=11500,G92&lt;11500),"▼ Sapphire",IF(AND(E92&gt;=10000,G92&lt;10000),"▼ Platinum",IF(AND(E92&gt;=8500,G92&lt;8500),"▼ Gold",IF(AND(E92&gt;=7000,G92&lt;7000),"▼ Silver",IF(AND(E92&gt;=5500,G92&lt;5500),"▼ Bronze",IF(AND(E92&gt;=4000,G92&lt;4000),"▼ Iron 2",IF(AND(E92&gt;=2000,G92&lt;2000),"▼ Iron 1",""))))))))))))))))))),"")</f>
        <v/>
      </c>
      <c r="I92" s="9"/>
    </row>
    <row r="93" spans="2:9" ht="25" customHeight="1" x14ac:dyDescent="0.25">
      <c r="B93" s="9">
        <v>4753</v>
      </c>
      <c r="C93" s="82"/>
      <c r="D93" s="71" t="s">
        <v>62</v>
      </c>
      <c r="E93" s="69">
        <v>3849</v>
      </c>
      <c r="F93" s="61">
        <v>89</v>
      </c>
      <c r="G93" s="14">
        <v>3938</v>
      </c>
      <c r="H93" s="36" t="str">
        <f>IFERROR(IF(OR(C92=0,E93=""),"",IF(AND(E93&lt;13000,G93&gt;=13000),"▲ Master",IF(AND(E93&lt;14500,G93&gt;=14500),"▲ Grandmaster",IF(AND(E93&lt;11500,G93&gt;=11500),"▲ Diamond",IF(AND(E93&lt;10000,G93&gt;=10000),"▲ Sapphire",IF(AND(E93&lt;8500,G93&gt;=8500),"▲ Platinum",IF(AND(E93&lt;7000,G93&gt;=7000),"▲ Gold",IF(AND(E93&lt;5500,G93&gt;=5500),"▲ Silver",IF(AND(E93&lt;4000,G93&gt;=4000),"▲ Bronze",IF(AND(E93&lt;2000,G93&gt;=2000),"▲ Iron 2",IF(AND(E93&gt;=14500,G93&lt;14500),"▼ Master",IF(AND(E93&gt;=13000,G93&lt;13000),"▼ Diamond",IF(AND(E93&gt;=11500,G93&lt;11500),"▼ Sapphire",IF(AND(E93&gt;=10000,G93&lt;10000),"▼ Platinum",IF(AND(E93&gt;=8500,G93&lt;8500),"▼ Gold",IF(AND(E93&gt;=7000,G93&lt;7000),"▼ Silver",IF(AND(E93&gt;=5500,G93&lt;5500),"▼ Bronze",IF(AND(E93&gt;=4000,G93&lt;4000),"▼ Iron 2",IF(AND(E93&gt;=2000,G93&lt;2000),"▼ Iron 1",""))))))))))))))))))),"")</f>
        <v/>
      </c>
      <c r="I93" s="9"/>
    </row>
    <row r="94" spans="2:9" ht="25" customHeight="1" x14ac:dyDescent="0.25">
      <c r="B94" s="9">
        <v>3783</v>
      </c>
      <c r="C94" s="82"/>
      <c r="D94" s="71" t="s">
        <v>63</v>
      </c>
      <c r="E94" s="69">
        <v>3400</v>
      </c>
      <c r="F94" s="61">
        <v>89</v>
      </c>
      <c r="G94" s="14">
        <v>3489</v>
      </c>
      <c r="H94" s="36" t="str">
        <f>IFERROR(IF(OR(C92=0,E94=""),"",IF(AND(E94&lt;13000,G94&gt;=13000),"▲ Master",IF(AND(E94&lt;14500,G94&gt;=14500),"▲ Grandmaster",IF(AND(E94&lt;11500,G94&gt;=11500),"▲ Diamond",IF(AND(E94&lt;10000,G94&gt;=10000),"▲ Sapphire",IF(AND(E94&lt;8500,G94&gt;=8500),"▲ Platinum",IF(AND(E94&lt;7000,G94&gt;=7000),"▲ Gold",IF(AND(E94&lt;5500,G94&gt;=5500),"▲ Silver",IF(AND(E94&lt;4000,G94&gt;=4000),"▲ Bronze",IF(AND(E94&lt;2000,G94&gt;=2000),"▲ Iron 2",IF(AND(E94&gt;=14500,G94&lt;14500),"▼ Master",IF(AND(E94&gt;=13000,G94&lt;13000),"▼ Diamond",IF(AND(E94&gt;=11500,G94&lt;11500),"▼ Sapphire",IF(AND(E94&gt;=10000,G94&lt;10000),"▼ Platinum",IF(AND(E94&gt;=8500,G94&lt;8500),"▼ Gold",IF(AND(E94&gt;=7000,G94&lt;7000),"▼ Silver",IF(AND(E94&gt;=5500,G94&lt;5500),"▼ Bronze",IF(AND(E94&gt;=4000,G94&lt;4000),"▼ Iron 2",IF(AND(E94&gt;=2000,G94&lt;2000),"▼ Iron 1",""))))))))))))))))))),"")</f>
        <v/>
      </c>
      <c r="I94" s="9"/>
    </row>
    <row r="95" spans="2:9" ht="25" customHeight="1" x14ac:dyDescent="0.25">
      <c r="B95" s="9">
        <v>3261</v>
      </c>
      <c r="C95" s="82"/>
      <c r="D95" s="71" t="s">
        <v>64</v>
      </c>
      <c r="E95" s="69">
        <v>3021</v>
      </c>
      <c r="F95" s="61">
        <v>89</v>
      </c>
      <c r="G95" s="14">
        <v>3110</v>
      </c>
      <c r="H95" s="36" t="str">
        <f>IFERROR(IF(OR(C92=0,E95=""),"",IF(AND(E95&lt;13000,G95&gt;=13000),"▲ Master",IF(AND(E95&lt;14500,G95&gt;=14500),"▲ Grandmaster",IF(AND(E95&lt;11500,G95&gt;=11500),"▲ Diamond",IF(AND(E95&lt;10000,G95&gt;=10000),"▲ Sapphire",IF(AND(E95&lt;8500,G95&gt;=8500),"▲ Platinum",IF(AND(E95&lt;7000,G95&gt;=7000),"▲ Gold",IF(AND(E95&lt;5500,G95&gt;=5500),"▲ Silver",IF(AND(E95&lt;4000,G95&gt;=4000),"▲ Bronze",IF(AND(E95&lt;2000,G95&gt;=2000),"▲ Iron 2",IF(AND(E95&gt;=14500,G95&lt;14500),"▼ Master",IF(AND(E95&gt;=13000,G95&lt;13000),"▼ Diamond",IF(AND(E95&gt;=11500,G95&lt;11500),"▼ Sapphire",IF(AND(E95&gt;=10000,G95&lt;10000),"▼ Platinum",IF(AND(E95&gt;=8500,G95&lt;8500),"▼ Gold",IF(AND(E95&gt;=7000,G95&lt;7000),"▼ Silver",IF(AND(E95&gt;=5500,G95&lt;5500),"▼ Bronze",IF(AND(E95&gt;=4000,G95&lt;4000),"▼ Iron 2",IF(AND(E95&gt;=2000,G95&lt;2000),"▼ Iron 1",""))))))))))))))))))),"")</f>
        <v/>
      </c>
      <c r="I95" s="9"/>
    </row>
    <row r="96" spans="2:9" ht="25" customHeight="1" x14ac:dyDescent="0.25">
      <c r="B96" s="9">
        <v>3912</v>
      </c>
      <c r="C96" s="82"/>
      <c r="D96" s="71" t="s">
        <v>65</v>
      </c>
      <c r="E96" s="69">
        <v>2581</v>
      </c>
      <c r="F96" s="61">
        <v>89</v>
      </c>
      <c r="G96" s="14">
        <v>2670</v>
      </c>
      <c r="H96" s="36" t="str">
        <f>IFERROR(IF(OR(C92=0,E96=""),"",IF(AND(E96&lt;13000,G96&gt;=13000),"▲ Master",IF(AND(E96&lt;14500,G96&gt;=14500),"▲ Grandmaster",IF(AND(E96&lt;11500,G96&gt;=11500),"▲ Diamond",IF(AND(E96&lt;10000,G96&gt;=10000),"▲ Sapphire",IF(AND(E96&lt;8500,G96&gt;=8500),"▲ Platinum",IF(AND(E96&lt;7000,G96&gt;=7000),"▲ Gold",IF(AND(E96&lt;5500,G96&gt;=5500),"▲ Silver",IF(AND(E96&lt;4000,G96&gt;=4000),"▲ Bronze",IF(AND(E96&lt;2000,G96&gt;=2000),"▲ Iron 2",IF(AND(E96&gt;=14500,G96&lt;14500),"▼ Master",IF(AND(E96&gt;=13000,G96&lt;13000),"▼ Diamond",IF(AND(E96&gt;=11500,G96&lt;11500),"▼ Sapphire",IF(AND(E96&gt;=10000,G96&lt;10000),"▼ Platinum",IF(AND(E96&gt;=8500,G96&lt;8500),"▼ Gold",IF(AND(E96&gt;=7000,G96&lt;7000),"▼ Silver",IF(AND(E96&gt;=5500,G96&lt;5500),"▼ Bronze",IF(AND(E96&gt;=4000,G96&lt;4000),"▼ Iron 2",IF(AND(E96&gt;=2000,G96&lt;2000),"▼ Iron 1",""))))))))))))))))))),"")</f>
        <v/>
      </c>
      <c r="I96" s="9"/>
    </row>
    <row r="97" spans="2:9" ht="25" customHeight="1" x14ac:dyDescent="0.25">
      <c r="B97" s="9">
        <v>2364</v>
      </c>
      <c r="C97" s="83"/>
      <c r="D97" s="71" t="s">
        <v>66</v>
      </c>
      <c r="E97" s="69">
        <v>2364</v>
      </c>
      <c r="F97" s="61">
        <v>89</v>
      </c>
      <c r="G97" s="14">
        <v>2453</v>
      </c>
      <c r="H97" s="36" t="str">
        <f>IFERROR(IF(OR(C92=0,E97=""),"",IF(AND(E97&lt;13000,G97&gt;=13000),"▲ Master",IF(AND(E97&lt;14500,G97&gt;=14500),"▲ Grandmaster",IF(AND(E97&lt;11500,G97&gt;=11500),"▲ Diamond",IF(AND(E97&lt;10000,G97&gt;=10000),"▲ Sapphire",IF(AND(E97&lt;8500,G97&gt;=8500),"▲ Platinum",IF(AND(E97&lt;7000,G97&gt;=7000),"▲ Gold",IF(AND(E97&lt;5500,G97&gt;=5500),"▲ Silver",IF(AND(E97&lt;4000,G97&gt;=4000),"▲ Bronze",IF(AND(E97&lt;2000,G97&gt;=2000),"▲ Iron 2",IF(AND(E97&gt;=14500,G97&lt;14500),"▼ Master",IF(AND(E97&gt;=13000,G97&lt;13000),"▼ Diamond",IF(AND(E97&gt;=11500,G97&lt;11500),"▼ Sapphire",IF(AND(E97&gt;=10000,G97&lt;10000),"▼ Platinum",IF(AND(E97&gt;=8500,G97&lt;8500),"▼ Gold",IF(AND(E97&gt;=7000,G97&lt;7000),"▼ Silver",IF(AND(E97&gt;=5500,G97&lt;5500),"▼ Bronze",IF(AND(E97&gt;=4000,G97&lt;4000),"▼ Iron 2",IF(AND(E97&gt;=2000,G97&lt;2000),"▼ Iron 1",""))))))))))))))))))),"")</f>
        <v/>
      </c>
      <c r="I97" s="9"/>
    </row>
    <row r="98" spans="2:9" ht="24.75" customHeight="1" x14ac:dyDescent="0.25">
      <c r="B98" s="9"/>
      <c r="C98" s="30"/>
      <c r="D98" s="72"/>
      <c r="E98" s="65"/>
      <c r="F98" s="15"/>
      <c r="G98" s="15"/>
      <c r="H98" s="56"/>
      <c r="I98" s="9"/>
    </row>
    <row r="99" spans="2:9" ht="25" customHeight="1" x14ac:dyDescent="0.25">
      <c r="B99" s="9">
        <v>5169</v>
      </c>
      <c r="C99" s="84">
        <v>2</v>
      </c>
      <c r="D99" s="71" t="s">
        <v>10</v>
      </c>
      <c r="E99" s="69">
        <v>3618</v>
      </c>
      <c r="F99" s="61">
        <v>-89</v>
      </c>
      <c r="G99" s="14">
        <v>3529</v>
      </c>
      <c r="H99" s="36" t="str">
        <f>IFERROR(IF(OR(C99=0,E99=""),"",IF(AND(E99&lt;13000,G99&gt;=13000),"▲ Master",IF(AND(E99&lt;14500,G99&gt;=14500),"▲ Grandmaster",IF(AND(E99&lt;11500,G99&gt;=11500),"▲ Diamond",IF(AND(E99&lt;10000,G99&gt;=10000),"▲ Sapphire",IF(AND(E99&lt;8500,G99&gt;=8500),"▲ Platinum",IF(AND(E99&lt;7000,G99&gt;=7000),"▲ Gold",IF(AND(E99&lt;5500,G99&gt;=5500),"▲ Silver",IF(AND(E99&lt;4000,G99&gt;=4000),"▲ Bronze",IF(AND(E99&lt;2000,G99&gt;=2000),"▲ Iron 2",IF(AND(E99&gt;=14500,G99&lt;14500),"▼ Master",IF(AND(E99&gt;=13000,G99&lt;13000),"▼ Diamond",IF(AND(E99&gt;=11500,G99&lt;11500),"▼ Sapphire",IF(AND(E99&gt;=10000,G99&lt;10000),"▼ Platinum",IF(AND(E99&gt;=8500,G99&lt;8500),"▼ Gold",IF(AND(E99&gt;=7000,G99&lt;7000),"▼ Silver",IF(AND(E99&gt;=5500,G99&lt;5500),"▼ Bronze",IF(AND(E99&gt;=4000,G99&lt;4000),"▼ Iron 2",IF(AND(E99&gt;=2000,G99&lt;2000),"▼ Iron 1",""))))))))))))))))))),"")</f>
        <v/>
      </c>
      <c r="I99" s="9"/>
    </row>
    <row r="100" spans="2:9" ht="25" customHeight="1" x14ac:dyDescent="0.25">
      <c r="B100" s="9">
        <v>3888</v>
      </c>
      <c r="C100" s="82"/>
      <c r="D100" s="71" t="s">
        <v>67</v>
      </c>
      <c r="E100" s="69">
        <v>3638</v>
      </c>
      <c r="F100" s="61">
        <v>-89</v>
      </c>
      <c r="G100" s="14">
        <v>3549</v>
      </c>
      <c r="H100" s="36" t="str">
        <f>IFERROR(IF(OR(C99=0,E100=""),"",IF(AND(E100&lt;13000,G100&gt;=13000),"▲ Master",IF(AND(E100&lt;14500,G100&gt;=14500),"▲ Grandmaster",IF(AND(E100&lt;11500,G100&gt;=11500),"▲ Diamond",IF(AND(E100&lt;10000,G100&gt;=10000),"▲ Sapphire",IF(AND(E100&lt;8500,G100&gt;=8500),"▲ Platinum",IF(AND(E100&lt;7000,G100&gt;=7000),"▲ Gold",IF(AND(E100&lt;5500,G100&gt;=5500),"▲ Silver",IF(AND(E100&lt;4000,G100&gt;=4000),"▲ Bronze",IF(AND(E100&lt;2000,G100&gt;=2000),"▲ Iron 2",IF(AND(E100&gt;=14500,G100&lt;14500),"▼ Master",IF(AND(E100&gt;=13000,G100&lt;13000),"▼ Diamond",IF(AND(E100&gt;=11500,G100&lt;11500),"▼ Sapphire",IF(AND(E100&gt;=10000,G100&lt;10000),"▼ Platinum",IF(AND(E100&gt;=8500,G100&lt;8500),"▼ Gold",IF(AND(E100&gt;=7000,G100&lt;7000),"▼ Silver",IF(AND(E100&gt;=5500,G100&lt;5500),"▼ Bronze",IF(AND(E100&gt;=4000,G100&lt;4000),"▼ Iron 2",IF(AND(E100&gt;=2000,G100&lt;2000),"▼ Iron 1",""))))))))))))))))))),"")</f>
        <v/>
      </c>
      <c r="I100" s="9"/>
    </row>
    <row r="101" spans="2:9" ht="25" customHeight="1" x14ac:dyDescent="0.25">
      <c r="B101" s="9">
        <v>3935</v>
      </c>
      <c r="C101" s="82"/>
      <c r="D101" s="71" t="s">
        <v>68</v>
      </c>
      <c r="E101" s="69">
        <v>3509</v>
      </c>
      <c r="F101" s="61">
        <v>-89</v>
      </c>
      <c r="G101" s="14">
        <v>3420</v>
      </c>
      <c r="H101" s="36" t="str">
        <f>IFERROR(IF(OR(C99=0,E101=""),"",IF(AND(E101&lt;13000,G101&gt;=13000),"▲ Master",IF(AND(E101&lt;14500,G101&gt;=14500),"▲ Grandmaster",IF(AND(E101&lt;11500,G101&gt;=11500),"▲ Diamond",IF(AND(E101&lt;10000,G101&gt;=10000),"▲ Sapphire",IF(AND(E101&lt;8500,G101&gt;=8500),"▲ Platinum",IF(AND(E101&lt;7000,G101&gt;=7000),"▲ Gold",IF(AND(E101&lt;5500,G101&gt;=5500),"▲ Silver",IF(AND(E101&lt;4000,G101&gt;=4000),"▲ Bronze",IF(AND(E101&lt;2000,G101&gt;=2000),"▲ Iron 2",IF(AND(E101&gt;=14500,G101&lt;14500),"▼ Master",IF(AND(E101&gt;=13000,G101&lt;13000),"▼ Diamond",IF(AND(E101&gt;=11500,G101&lt;11500),"▼ Sapphire",IF(AND(E101&gt;=10000,G101&lt;10000),"▼ Platinum",IF(AND(E101&gt;=8500,G101&lt;8500),"▼ Gold",IF(AND(E101&gt;=7000,G101&lt;7000),"▼ Silver",IF(AND(E101&gt;=5500,G101&lt;5500),"▼ Bronze",IF(AND(E101&gt;=4000,G101&lt;4000),"▼ Iron 2",IF(AND(E101&gt;=2000,G101&lt;2000),"▼ Iron 1",""))))))))))))))))))),"")</f>
        <v/>
      </c>
      <c r="I101" s="9"/>
    </row>
    <row r="102" spans="2:9" ht="25" customHeight="1" x14ac:dyDescent="0.25">
      <c r="B102" s="9">
        <v>3227</v>
      </c>
      <c r="C102" s="82"/>
      <c r="D102" s="71" t="s">
        <v>69</v>
      </c>
      <c r="E102" s="69">
        <v>2920</v>
      </c>
      <c r="F102" s="61">
        <v>-89</v>
      </c>
      <c r="G102" s="14">
        <v>2831</v>
      </c>
      <c r="H102" s="36" t="str">
        <f>IFERROR(IF(OR(C99=0,E102=""),"",IF(AND(E102&lt;13000,G102&gt;=13000),"▲ Master",IF(AND(E102&lt;14500,G102&gt;=14500),"▲ Grandmaster",IF(AND(E102&lt;11500,G102&gt;=11500),"▲ Diamond",IF(AND(E102&lt;10000,G102&gt;=10000),"▲ Sapphire",IF(AND(E102&lt;8500,G102&gt;=8500),"▲ Platinum",IF(AND(E102&lt;7000,G102&gt;=7000),"▲ Gold",IF(AND(E102&lt;5500,G102&gt;=5500),"▲ Silver",IF(AND(E102&lt;4000,G102&gt;=4000),"▲ Bronze",IF(AND(E102&lt;2000,G102&gt;=2000),"▲ Iron 2",IF(AND(E102&gt;=14500,G102&lt;14500),"▼ Master",IF(AND(E102&gt;=13000,G102&lt;13000),"▼ Diamond",IF(AND(E102&gt;=11500,G102&lt;11500),"▼ Sapphire",IF(AND(E102&gt;=10000,G102&lt;10000),"▼ Platinum",IF(AND(E102&gt;=8500,G102&lt;8500),"▼ Gold",IF(AND(E102&gt;=7000,G102&lt;7000),"▼ Silver",IF(AND(E102&gt;=5500,G102&lt;5500),"▼ Bronze",IF(AND(E102&gt;=4000,G102&lt;4000),"▼ Iron 2",IF(AND(E102&gt;=2000,G102&lt;2000),"▼ Iron 1",""))))))))))))))))))),"")</f>
        <v/>
      </c>
      <c r="I102" s="9"/>
    </row>
    <row r="103" spans="2:9" ht="25" customHeight="1" x14ac:dyDescent="0.25">
      <c r="B103" s="9">
        <v>3977</v>
      </c>
      <c r="C103" s="82"/>
      <c r="D103" s="71" t="s">
        <v>70</v>
      </c>
      <c r="E103" s="69">
        <v>2902</v>
      </c>
      <c r="F103" s="61">
        <v>-89</v>
      </c>
      <c r="G103" s="14">
        <v>2813</v>
      </c>
      <c r="H103" s="36" t="str">
        <f>IFERROR(IF(OR(C99=0,E103=""),"",IF(AND(E103&lt;13000,G103&gt;=13000),"▲ Master",IF(AND(E103&lt;14500,G103&gt;=14500),"▲ Grandmaster",IF(AND(E103&lt;11500,G103&gt;=11500),"▲ Diamond",IF(AND(E103&lt;10000,G103&gt;=10000),"▲ Sapphire",IF(AND(E103&lt;8500,G103&gt;=8500),"▲ Platinum",IF(AND(E103&lt;7000,G103&gt;=7000),"▲ Gold",IF(AND(E103&lt;5500,G103&gt;=5500),"▲ Silver",IF(AND(E103&lt;4000,G103&gt;=4000),"▲ Bronze",IF(AND(E103&lt;2000,G103&gt;=2000),"▲ Iron 2",IF(AND(E103&gt;=14500,G103&lt;14500),"▼ Master",IF(AND(E103&gt;=13000,G103&lt;13000),"▼ Diamond",IF(AND(E103&gt;=11500,G103&lt;11500),"▼ Sapphire",IF(AND(E103&gt;=10000,G103&lt;10000),"▼ Platinum",IF(AND(E103&gt;=8500,G103&lt;8500),"▼ Gold",IF(AND(E103&gt;=7000,G103&lt;7000),"▼ Silver",IF(AND(E103&gt;=5500,G103&lt;5500),"▼ Bronze",IF(AND(E103&gt;=4000,G103&lt;4000),"▼ Iron 2",IF(AND(E103&gt;=2000,G103&lt;2000),"▼ Iron 1",""))))))))))))))))))),"")</f>
        <v/>
      </c>
      <c r="I103" s="9"/>
    </row>
    <row r="104" spans="2:9" ht="25" customHeight="1" x14ac:dyDescent="0.25">
      <c r="B104" s="9">
        <v>1908</v>
      </c>
      <c r="C104" s="83"/>
      <c r="D104" s="71" t="s">
        <v>71</v>
      </c>
      <c r="E104" s="69">
        <v>376</v>
      </c>
      <c r="F104" s="61">
        <v>-89</v>
      </c>
      <c r="G104" s="14">
        <v>287</v>
      </c>
      <c r="H104" s="36" t="str">
        <f>IFERROR(IF(OR(C99=0,E104=""),"",IF(AND(E104&lt;13000,G104&gt;=13000),"▲ Master",IF(AND(E104&lt;14500,G104&gt;=14500),"▲ Grandmaster",IF(AND(E104&lt;11500,G104&gt;=11500),"▲ Diamond",IF(AND(E104&lt;10000,G104&gt;=10000),"▲ Sapphire",IF(AND(E104&lt;8500,G104&gt;=8500),"▲ Platinum",IF(AND(E104&lt;7000,G104&gt;=7000),"▲ Gold",IF(AND(E104&lt;5500,G104&gt;=5500),"▲ Silver",IF(AND(E104&lt;4000,G104&gt;=4000),"▲ Bronze",IF(AND(E104&lt;2000,G104&gt;=2000),"▲ Iron 2",IF(AND(E104&gt;=14500,G104&lt;14500),"▼ Master",IF(AND(E104&gt;=13000,G104&lt;13000),"▼ Diamond",IF(AND(E104&gt;=11500,G104&lt;11500),"▼ Sapphire",IF(AND(E104&gt;=10000,G104&lt;10000),"▼ Platinum",IF(AND(E104&gt;=8500,G104&lt;8500),"▼ Gold",IF(AND(E104&gt;=7000,G104&lt;7000),"▼ Silver",IF(AND(E104&gt;=5500,G104&lt;5500),"▼ Bronze",IF(AND(E104&gt;=4000,G104&lt;4000),"▼ Iron 2",IF(AND(E104&gt;=2000,G104&lt;2000),"▼ Iron 1",""))))))))))))))))))),"")</f>
        <v/>
      </c>
      <c r="I104" s="9"/>
    </row>
    <row r="105" spans="2:9" ht="25.5" customHeight="1" thickBot="1" x14ac:dyDescent="0.25">
      <c r="B105" s="9"/>
      <c r="C105" s="31" t="s">
        <v>21</v>
      </c>
      <c r="D105" s="73">
        <v>12</v>
      </c>
      <c r="E105" s="77" t="s">
        <v>22</v>
      </c>
      <c r="F105" s="78"/>
      <c r="G105" s="79"/>
      <c r="H105" s="34">
        <v>11925</v>
      </c>
      <c r="I105" s="9"/>
    </row>
    <row r="106" spans="2:9" ht="15.75" customHeight="1" thickTop="1" x14ac:dyDescent="0.2">
      <c r="B106" s="9"/>
      <c r="C106" s="9"/>
      <c r="D106" s="9"/>
      <c r="E106" s="9"/>
      <c r="F106" s="9"/>
      <c r="G106" s="9"/>
      <c r="H106" s="9"/>
      <c r="I106" s="9"/>
    </row>
  </sheetData>
  <mergeCells count="30">
    <mergeCell ref="E32:H32"/>
    <mergeCell ref="C4:D4"/>
    <mergeCell ref="E4:H4"/>
    <mergeCell ref="C32:D32"/>
    <mergeCell ref="E30:G30"/>
    <mergeCell ref="C49:C50"/>
    <mergeCell ref="C34:C35"/>
    <mergeCell ref="C37:C38"/>
    <mergeCell ref="C40:C41"/>
    <mergeCell ref="C43:C44"/>
    <mergeCell ref="C46:C47"/>
    <mergeCell ref="E70:G70"/>
    <mergeCell ref="E51:G51"/>
    <mergeCell ref="C63:C65"/>
    <mergeCell ref="C67:C69"/>
    <mergeCell ref="E53:H53"/>
    <mergeCell ref="C53:D53"/>
    <mergeCell ref="C55:C57"/>
    <mergeCell ref="C59:C61"/>
    <mergeCell ref="C84:C87"/>
    <mergeCell ref="E72:H72"/>
    <mergeCell ref="E88:G88"/>
    <mergeCell ref="C72:D72"/>
    <mergeCell ref="C74:C77"/>
    <mergeCell ref="C79:C82"/>
    <mergeCell ref="E90:H90"/>
    <mergeCell ref="E105:G105"/>
    <mergeCell ref="C90:D90"/>
    <mergeCell ref="C92:C97"/>
    <mergeCell ref="C99:C104"/>
  </mergeCells>
  <conditionalFormatting sqref="F34:F35 F37:F38 F40:F41 F43:F44 F46:F47 F49:F50 F55:F57 F59:F61 F63:F65 F67:F69 F74:F77 F79:F82 F84:F87 F92:F97 F99:F104 F6:F29">
    <cfRule type="colorScale" priority="337">
      <colorScale>
        <cfvo type="num" val="-175"/>
        <cfvo type="num" val="0"/>
        <cfvo type="num" val="175"/>
        <color rgb="FFC00000"/>
        <color theme="0" tint="-0.14999847407452621"/>
        <color theme="9" tint="-0.249977111117893"/>
      </colorScale>
    </cfRule>
  </conditionalFormatting>
  <conditionalFormatting sqref="G34:G50 G55:G69 G6:G29">
    <cfRule type="expression" dxfId="135" priority="348">
      <formula>G6&gt;B6</formula>
    </cfRule>
  </conditionalFormatting>
  <conditionalFormatting sqref="H6:H29">
    <cfRule type="containsText" dxfId="134" priority="338" operator="containsText" text="Grandmaster">
      <formula>NOT(ISERROR(SEARCH("Grandmaster",H6)))</formula>
    </cfRule>
    <cfRule type="containsText" dxfId="133" priority="339" operator="containsText" text="Master">
      <formula>NOT(ISERROR(SEARCH("Master",H6)))</formula>
    </cfRule>
    <cfRule type="containsText" dxfId="132" priority="340" operator="containsText" text="Diamond">
      <formula>NOT(ISERROR(SEARCH("Diamond",H6)))</formula>
    </cfRule>
    <cfRule type="containsText" dxfId="131" priority="341" operator="containsText" text="Sapphire">
      <formula>NOT(ISERROR(SEARCH("Sapphire",H6)))</formula>
    </cfRule>
    <cfRule type="containsText" dxfId="130" priority="342" operator="containsText" text="Platinum">
      <formula>NOT(ISERROR(SEARCH("Platinum",H6)))</formula>
    </cfRule>
    <cfRule type="containsText" dxfId="129" priority="343" operator="containsText" text="Gold">
      <formula>NOT(ISERROR(SEARCH("Gold",H6)))</formula>
    </cfRule>
    <cfRule type="containsText" dxfId="128" priority="344" operator="containsText" text="Silver">
      <formula>NOT(ISERROR(SEARCH("Silver",H6)))</formula>
    </cfRule>
    <cfRule type="containsText" dxfId="127" priority="345" operator="containsText" text="Bronze">
      <formula>NOT(ISERROR(SEARCH("Bronze",H6)))</formula>
    </cfRule>
    <cfRule type="containsText" dxfId="126" priority="346" operator="containsText" text="Iron">
      <formula>NOT(ISERROR(SEARCH("Iron",H6)))</formula>
    </cfRule>
  </conditionalFormatting>
  <conditionalFormatting sqref="H34:H35">
    <cfRule type="containsText" dxfId="125" priority="319" operator="containsText" text="Grandmaster">
      <formula>NOT(ISERROR(SEARCH("Grandmaster",H34)))</formula>
    </cfRule>
    <cfRule type="containsText" dxfId="124" priority="320" operator="containsText" text="Master">
      <formula>NOT(ISERROR(SEARCH("Master",H34)))</formula>
    </cfRule>
    <cfRule type="containsText" dxfId="123" priority="321" operator="containsText" text="Diamond">
      <formula>NOT(ISERROR(SEARCH("Diamond",H34)))</formula>
    </cfRule>
    <cfRule type="containsText" dxfId="122" priority="322" operator="containsText" text="Sapphire">
      <formula>NOT(ISERROR(SEARCH("Sapphire",H34)))</formula>
    </cfRule>
    <cfRule type="containsText" dxfId="121" priority="323" operator="containsText" text="Platinum">
      <formula>NOT(ISERROR(SEARCH("Platinum",H34)))</formula>
    </cfRule>
    <cfRule type="containsText" dxfId="120" priority="324" operator="containsText" text="Gold">
      <formula>NOT(ISERROR(SEARCH("Gold",H34)))</formula>
    </cfRule>
    <cfRule type="containsText" dxfId="119" priority="325" operator="containsText" text="Silver">
      <formula>NOT(ISERROR(SEARCH("Silver",H34)))</formula>
    </cfRule>
    <cfRule type="containsText" dxfId="118" priority="326" operator="containsText" text="Bronze">
      <formula>NOT(ISERROR(SEARCH("Bronze",H34)))</formula>
    </cfRule>
    <cfRule type="containsText" dxfId="117" priority="327" operator="containsText" text="Iron">
      <formula>NOT(ISERROR(SEARCH("Iron",H34)))</formula>
    </cfRule>
  </conditionalFormatting>
  <conditionalFormatting sqref="H37:H38">
    <cfRule type="containsText" dxfId="116" priority="301" operator="containsText" text="Grandmaster">
      <formula>NOT(ISERROR(SEARCH("Grandmaster",H37)))</formula>
    </cfRule>
    <cfRule type="containsText" dxfId="115" priority="302" operator="containsText" text="Master">
      <formula>NOT(ISERROR(SEARCH("Master",H37)))</formula>
    </cfRule>
    <cfRule type="containsText" dxfId="114" priority="303" operator="containsText" text="Diamond">
      <formula>NOT(ISERROR(SEARCH("Diamond",H37)))</formula>
    </cfRule>
    <cfRule type="containsText" dxfId="113" priority="304" operator="containsText" text="Sapphire">
      <formula>NOT(ISERROR(SEARCH("Sapphire",H37)))</formula>
    </cfRule>
    <cfRule type="containsText" dxfId="112" priority="305" operator="containsText" text="Platinum">
      <formula>NOT(ISERROR(SEARCH("Platinum",H37)))</formula>
    </cfRule>
    <cfRule type="containsText" dxfId="111" priority="306" operator="containsText" text="Gold">
      <formula>NOT(ISERROR(SEARCH("Gold",H37)))</formula>
    </cfRule>
    <cfRule type="containsText" dxfId="110" priority="307" operator="containsText" text="Silver">
      <formula>NOT(ISERROR(SEARCH("Silver",H37)))</formula>
    </cfRule>
    <cfRule type="containsText" dxfId="109" priority="308" operator="containsText" text="Bronze">
      <formula>NOT(ISERROR(SEARCH("Bronze",H37)))</formula>
    </cfRule>
    <cfRule type="containsText" dxfId="108" priority="309" operator="containsText" text="Iron">
      <formula>NOT(ISERROR(SEARCH("Iron",H37)))</formula>
    </cfRule>
  </conditionalFormatting>
  <conditionalFormatting sqref="H40:H41">
    <cfRule type="containsText" dxfId="107" priority="283" operator="containsText" text="Grandmaster">
      <formula>NOT(ISERROR(SEARCH("Grandmaster",H40)))</formula>
    </cfRule>
    <cfRule type="containsText" dxfId="106" priority="284" operator="containsText" text="Master">
      <formula>NOT(ISERROR(SEARCH("Master",H40)))</formula>
    </cfRule>
    <cfRule type="containsText" dxfId="105" priority="285" operator="containsText" text="Diamond">
      <formula>NOT(ISERROR(SEARCH("Diamond",H40)))</formula>
    </cfRule>
    <cfRule type="containsText" dxfId="104" priority="286" operator="containsText" text="Sapphire">
      <formula>NOT(ISERROR(SEARCH("Sapphire",H40)))</formula>
    </cfRule>
    <cfRule type="containsText" dxfId="103" priority="287" operator="containsText" text="Platinum">
      <formula>NOT(ISERROR(SEARCH("Platinum",H40)))</formula>
    </cfRule>
    <cfRule type="containsText" dxfId="102" priority="288" operator="containsText" text="Gold">
      <formula>NOT(ISERROR(SEARCH("Gold",H40)))</formula>
    </cfRule>
    <cfRule type="containsText" dxfId="101" priority="289" operator="containsText" text="Silver">
      <formula>NOT(ISERROR(SEARCH("Silver",H40)))</formula>
    </cfRule>
    <cfRule type="containsText" dxfId="100" priority="290" operator="containsText" text="Bronze">
      <formula>NOT(ISERROR(SEARCH("Bronze",H40)))</formula>
    </cfRule>
    <cfRule type="containsText" dxfId="99" priority="291" operator="containsText" text="Iron">
      <formula>NOT(ISERROR(SEARCH("Iron",H40)))</formula>
    </cfRule>
  </conditionalFormatting>
  <conditionalFormatting sqref="H43:H44">
    <cfRule type="containsText" dxfId="98" priority="265" operator="containsText" text="Grandmaster">
      <formula>NOT(ISERROR(SEARCH("Grandmaster",H43)))</formula>
    </cfRule>
    <cfRule type="containsText" dxfId="97" priority="266" operator="containsText" text="Master">
      <formula>NOT(ISERROR(SEARCH("Master",H43)))</formula>
    </cfRule>
    <cfRule type="containsText" dxfId="96" priority="267" operator="containsText" text="Diamond">
      <formula>NOT(ISERROR(SEARCH("Diamond",H43)))</formula>
    </cfRule>
    <cfRule type="containsText" dxfId="95" priority="268" operator="containsText" text="Sapphire">
      <formula>NOT(ISERROR(SEARCH("Sapphire",H43)))</formula>
    </cfRule>
    <cfRule type="containsText" dxfId="94" priority="269" operator="containsText" text="Platinum">
      <formula>NOT(ISERROR(SEARCH("Platinum",H43)))</formula>
    </cfRule>
    <cfRule type="containsText" dxfId="93" priority="270" operator="containsText" text="Gold">
      <formula>NOT(ISERROR(SEARCH("Gold",H43)))</formula>
    </cfRule>
    <cfRule type="containsText" dxfId="92" priority="271" operator="containsText" text="Silver">
      <formula>NOT(ISERROR(SEARCH("Silver",H43)))</formula>
    </cfRule>
    <cfRule type="containsText" dxfId="91" priority="272" operator="containsText" text="Bronze">
      <formula>NOT(ISERROR(SEARCH("Bronze",H43)))</formula>
    </cfRule>
    <cfRule type="containsText" dxfId="90" priority="273" operator="containsText" text="Iron">
      <formula>NOT(ISERROR(SEARCH("Iron",H43)))</formula>
    </cfRule>
  </conditionalFormatting>
  <conditionalFormatting sqref="H46:H47">
    <cfRule type="containsText" dxfId="89" priority="247" operator="containsText" text="Grandmaster">
      <formula>NOT(ISERROR(SEARCH("Grandmaster",H46)))</formula>
    </cfRule>
    <cfRule type="containsText" dxfId="88" priority="248" operator="containsText" text="Master">
      <formula>NOT(ISERROR(SEARCH("Master",H46)))</formula>
    </cfRule>
    <cfRule type="containsText" dxfId="87" priority="249" operator="containsText" text="Diamond">
      <formula>NOT(ISERROR(SEARCH("Diamond",H46)))</formula>
    </cfRule>
    <cfRule type="containsText" dxfId="86" priority="250" operator="containsText" text="Sapphire">
      <formula>NOT(ISERROR(SEARCH("Sapphire",H46)))</formula>
    </cfRule>
    <cfRule type="containsText" dxfId="85" priority="251" operator="containsText" text="Platinum">
      <formula>NOT(ISERROR(SEARCH("Platinum",H46)))</formula>
    </cfRule>
    <cfRule type="containsText" dxfId="84" priority="252" operator="containsText" text="Gold">
      <formula>NOT(ISERROR(SEARCH("Gold",H46)))</formula>
    </cfRule>
    <cfRule type="containsText" dxfId="83" priority="253" operator="containsText" text="Silver">
      <formula>NOT(ISERROR(SEARCH("Silver",H46)))</formula>
    </cfRule>
    <cfRule type="containsText" dxfId="82" priority="254" operator="containsText" text="Bronze">
      <formula>NOT(ISERROR(SEARCH("Bronze",H46)))</formula>
    </cfRule>
    <cfRule type="containsText" dxfId="81" priority="255" operator="containsText" text="Iron">
      <formula>NOT(ISERROR(SEARCH("Iron",H46)))</formula>
    </cfRule>
  </conditionalFormatting>
  <conditionalFormatting sqref="H49:H50">
    <cfRule type="containsText" dxfId="80" priority="229" operator="containsText" text="Grandmaster">
      <formula>NOT(ISERROR(SEARCH("Grandmaster",H49)))</formula>
    </cfRule>
    <cfRule type="containsText" dxfId="79" priority="230" operator="containsText" text="Master">
      <formula>NOT(ISERROR(SEARCH("Master",H49)))</formula>
    </cfRule>
    <cfRule type="containsText" dxfId="78" priority="231" operator="containsText" text="Diamond">
      <formula>NOT(ISERROR(SEARCH("Diamond",H49)))</formula>
    </cfRule>
    <cfRule type="containsText" dxfId="77" priority="232" operator="containsText" text="Sapphire">
      <formula>NOT(ISERROR(SEARCH("Sapphire",H49)))</formula>
    </cfRule>
    <cfRule type="containsText" dxfId="76" priority="233" operator="containsText" text="Platinum">
      <formula>NOT(ISERROR(SEARCH("Platinum",H49)))</formula>
    </cfRule>
    <cfRule type="containsText" dxfId="75" priority="234" operator="containsText" text="Gold">
      <formula>NOT(ISERROR(SEARCH("Gold",H49)))</formula>
    </cfRule>
    <cfRule type="containsText" dxfId="74" priority="235" operator="containsText" text="Silver">
      <formula>NOT(ISERROR(SEARCH("Silver",H49)))</formula>
    </cfRule>
    <cfRule type="containsText" dxfId="73" priority="236" operator="containsText" text="Bronze">
      <formula>NOT(ISERROR(SEARCH("Bronze",H49)))</formula>
    </cfRule>
    <cfRule type="containsText" dxfId="72" priority="237" operator="containsText" text="Iron">
      <formula>NOT(ISERROR(SEARCH("Iron",H49)))</formula>
    </cfRule>
  </conditionalFormatting>
  <conditionalFormatting sqref="H55:H57">
    <cfRule type="containsText" dxfId="71" priority="190" operator="containsText" text="Grandmaster">
      <formula>NOT(ISERROR(SEARCH("Grandmaster",H55)))</formula>
    </cfRule>
    <cfRule type="containsText" dxfId="70" priority="191" operator="containsText" text="Master">
      <formula>NOT(ISERROR(SEARCH("Master",H55)))</formula>
    </cfRule>
    <cfRule type="containsText" dxfId="69" priority="192" operator="containsText" text="Diamond">
      <formula>NOT(ISERROR(SEARCH("Diamond",H55)))</formula>
    </cfRule>
    <cfRule type="containsText" dxfId="68" priority="193" operator="containsText" text="Sapphire">
      <formula>NOT(ISERROR(SEARCH("Sapphire",H55)))</formula>
    </cfRule>
    <cfRule type="containsText" dxfId="67" priority="194" operator="containsText" text="Platinum">
      <formula>NOT(ISERROR(SEARCH("Platinum",H55)))</formula>
    </cfRule>
    <cfRule type="containsText" dxfId="66" priority="195" operator="containsText" text="Gold">
      <formula>NOT(ISERROR(SEARCH("Gold",H55)))</formula>
    </cfRule>
    <cfRule type="containsText" dxfId="65" priority="196" operator="containsText" text="Silver">
      <formula>NOT(ISERROR(SEARCH("Silver",H55)))</formula>
    </cfRule>
    <cfRule type="containsText" dxfId="64" priority="197" operator="containsText" text="Bronze">
      <formula>NOT(ISERROR(SEARCH("Bronze",H55)))</formula>
    </cfRule>
    <cfRule type="containsText" dxfId="63" priority="198" operator="containsText" text="Iron">
      <formula>NOT(ISERROR(SEARCH("Iron",H55)))</formula>
    </cfRule>
  </conditionalFormatting>
  <conditionalFormatting sqref="H59:H61">
    <cfRule type="containsText" dxfId="62" priority="163" operator="containsText" text="Grandmaster">
      <formula>NOT(ISERROR(SEARCH("Grandmaster",H59)))</formula>
    </cfRule>
    <cfRule type="containsText" dxfId="61" priority="164" operator="containsText" text="Master">
      <formula>NOT(ISERROR(SEARCH("Master",H59)))</formula>
    </cfRule>
    <cfRule type="containsText" dxfId="60" priority="165" operator="containsText" text="Diamond">
      <formula>NOT(ISERROR(SEARCH("Diamond",H59)))</formula>
    </cfRule>
    <cfRule type="containsText" dxfId="59" priority="166" operator="containsText" text="Sapphire">
      <formula>NOT(ISERROR(SEARCH("Sapphire",H59)))</formula>
    </cfRule>
    <cfRule type="containsText" dxfId="58" priority="167" operator="containsText" text="Platinum">
      <formula>NOT(ISERROR(SEARCH("Platinum",H59)))</formula>
    </cfRule>
    <cfRule type="containsText" dxfId="57" priority="168" operator="containsText" text="Gold">
      <formula>NOT(ISERROR(SEARCH("Gold",H59)))</formula>
    </cfRule>
    <cfRule type="containsText" dxfId="56" priority="169" operator="containsText" text="Silver">
      <formula>NOT(ISERROR(SEARCH("Silver",H59)))</formula>
    </cfRule>
    <cfRule type="containsText" dxfId="55" priority="170" operator="containsText" text="Bronze">
      <formula>NOT(ISERROR(SEARCH("Bronze",H59)))</formula>
    </cfRule>
    <cfRule type="containsText" dxfId="54" priority="171" operator="containsText" text="Iron">
      <formula>NOT(ISERROR(SEARCH("Iron",H59)))</formula>
    </cfRule>
  </conditionalFormatting>
  <conditionalFormatting sqref="H63:H65">
    <cfRule type="containsText" dxfId="53" priority="136" operator="containsText" text="Grandmaster">
      <formula>NOT(ISERROR(SEARCH("Grandmaster",H63)))</formula>
    </cfRule>
    <cfRule type="containsText" dxfId="52" priority="137" operator="containsText" text="Master">
      <formula>NOT(ISERROR(SEARCH("Master",H63)))</formula>
    </cfRule>
    <cfRule type="containsText" dxfId="51" priority="138" operator="containsText" text="Diamond">
      <formula>NOT(ISERROR(SEARCH("Diamond",H63)))</formula>
    </cfRule>
    <cfRule type="containsText" dxfId="50" priority="139" operator="containsText" text="Sapphire">
      <formula>NOT(ISERROR(SEARCH("Sapphire",H63)))</formula>
    </cfRule>
    <cfRule type="containsText" dxfId="49" priority="140" operator="containsText" text="Platinum">
      <formula>NOT(ISERROR(SEARCH("Platinum",H63)))</formula>
    </cfRule>
    <cfRule type="containsText" dxfId="48" priority="141" operator="containsText" text="Gold">
      <formula>NOT(ISERROR(SEARCH("Gold",H63)))</formula>
    </cfRule>
    <cfRule type="containsText" dxfId="47" priority="142" operator="containsText" text="Silver">
      <formula>NOT(ISERROR(SEARCH("Silver",H63)))</formula>
    </cfRule>
    <cfRule type="containsText" dxfId="46" priority="143" operator="containsText" text="Bronze">
      <formula>NOT(ISERROR(SEARCH("Bronze",H63)))</formula>
    </cfRule>
    <cfRule type="containsText" dxfId="45" priority="144" operator="containsText" text="Iron">
      <formula>NOT(ISERROR(SEARCH("Iron",H63)))</formula>
    </cfRule>
  </conditionalFormatting>
  <conditionalFormatting sqref="H67:H69">
    <cfRule type="containsText" dxfId="44" priority="109" operator="containsText" text="Grandmaster">
      <formula>NOT(ISERROR(SEARCH("Grandmaster",H67)))</formula>
    </cfRule>
    <cfRule type="containsText" dxfId="43" priority="110" operator="containsText" text="Master">
      <formula>NOT(ISERROR(SEARCH("Master",H67)))</formula>
    </cfRule>
    <cfRule type="containsText" dxfId="42" priority="111" operator="containsText" text="Diamond">
      <formula>NOT(ISERROR(SEARCH("Diamond",H67)))</formula>
    </cfRule>
    <cfRule type="containsText" dxfId="41" priority="112" operator="containsText" text="Sapphire">
      <formula>NOT(ISERROR(SEARCH("Sapphire",H67)))</formula>
    </cfRule>
    <cfRule type="containsText" dxfId="40" priority="113" operator="containsText" text="Platinum">
      <formula>NOT(ISERROR(SEARCH("Platinum",H67)))</formula>
    </cfRule>
    <cfRule type="containsText" dxfId="39" priority="114" operator="containsText" text="Gold">
      <formula>NOT(ISERROR(SEARCH("Gold",H67)))</formula>
    </cfRule>
    <cfRule type="containsText" dxfId="38" priority="115" operator="containsText" text="Silver">
      <formula>NOT(ISERROR(SEARCH("Silver",H67)))</formula>
    </cfRule>
    <cfRule type="containsText" dxfId="37" priority="116" operator="containsText" text="Bronze">
      <formula>NOT(ISERROR(SEARCH("Bronze",H67)))</formula>
    </cfRule>
    <cfRule type="containsText" dxfId="36" priority="117" operator="containsText" text="Iron">
      <formula>NOT(ISERROR(SEARCH("Iron",H67)))</formula>
    </cfRule>
  </conditionalFormatting>
  <conditionalFormatting sqref="H74:H87">
    <cfRule type="containsText" dxfId="35" priority="100" operator="containsText" text="Grandmaster">
      <formula>NOT(ISERROR(SEARCH("Grandmaster",H74)))</formula>
    </cfRule>
    <cfRule type="containsText" dxfId="34" priority="101" operator="containsText" text="Master">
      <formula>NOT(ISERROR(SEARCH("Master",H74)))</formula>
    </cfRule>
    <cfRule type="containsText" dxfId="33" priority="102" operator="containsText" text="Diamond">
      <formula>NOT(ISERROR(SEARCH("Diamond",H74)))</formula>
    </cfRule>
    <cfRule type="containsText" dxfId="32" priority="103" operator="containsText" text="Sapphire">
      <formula>NOT(ISERROR(SEARCH("Sapphire",H74)))</formula>
    </cfRule>
    <cfRule type="containsText" dxfId="31" priority="104" operator="containsText" text="Platinum">
      <formula>NOT(ISERROR(SEARCH("Platinum",H74)))</formula>
    </cfRule>
    <cfRule type="containsText" dxfId="30" priority="105" operator="containsText" text="Gold">
      <formula>NOT(ISERROR(SEARCH("Gold",H74)))</formula>
    </cfRule>
    <cfRule type="containsText" dxfId="29" priority="106" operator="containsText" text="Silver">
      <formula>NOT(ISERROR(SEARCH("Silver",H74)))</formula>
    </cfRule>
    <cfRule type="containsText" dxfId="28" priority="107" operator="containsText" text="Bronze">
      <formula>NOT(ISERROR(SEARCH("Bronze",H74)))</formula>
    </cfRule>
    <cfRule type="containsText" dxfId="27" priority="108" operator="containsText" text="Iron">
      <formula>NOT(ISERROR(SEARCH("Iron",H74)))</formula>
    </cfRule>
  </conditionalFormatting>
  <conditionalFormatting sqref="H75:H77">
    <cfRule type="containsText" dxfId="26" priority="82" operator="containsText" text="Grandmaster">
      <formula>NOT(ISERROR(SEARCH("Grandmaster",H75)))</formula>
    </cfRule>
    <cfRule type="containsText" dxfId="25" priority="83" operator="containsText" text="Master">
      <formula>NOT(ISERROR(SEARCH("Master",H75)))</formula>
    </cfRule>
    <cfRule type="containsText" dxfId="24" priority="84" operator="containsText" text="Diamond">
      <formula>NOT(ISERROR(SEARCH("Diamond",H75)))</formula>
    </cfRule>
    <cfRule type="containsText" dxfId="23" priority="85" operator="containsText" text="Sapphire">
      <formula>NOT(ISERROR(SEARCH("Sapphire",H75)))</formula>
    </cfRule>
    <cfRule type="containsText" dxfId="22" priority="86" operator="containsText" text="Platinum">
      <formula>NOT(ISERROR(SEARCH("Platinum",H75)))</formula>
    </cfRule>
    <cfRule type="containsText" dxfId="21" priority="87" operator="containsText" text="Gold">
      <formula>NOT(ISERROR(SEARCH("Gold",H75)))</formula>
    </cfRule>
    <cfRule type="containsText" dxfId="20" priority="88" operator="containsText" text="Silver">
      <formula>NOT(ISERROR(SEARCH("Silver",H75)))</formula>
    </cfRule>
    <cfRule type="containsText" dxfId="19" priority="89" operator="containsText" text="Bronze">
      <formula>NOT(ISERROR(SEARCH("Bronze",H75)))</formula>
    </cfRule>
    <cfRule type="containsText" dxfId="18" priority="90" operator="containsText" text="Iron">
      <formula>NOT(ISERROR(SEARCH("Iron",H75)))</formula>
    </cfRule>
  </conditionalFormatting>
  <conditionalFormatting sqref="H92:H97">
    <cfRule type="containsText" dxfId="17" priority="28" operator="containsText" text="Grandmaster">
      <formula>NOT(ISERROR(SEARCH("Grandmaster",H92)))</formula>
    </cfRule>
    <cfRule type="containsText" dxfId="16" priority="29" operator="containsText" text="Master">
      <formula>NOT(ISERROR(SEARCH("Master",H92)))</formula>
    </cfRule>
    <cfRule type="containsText" dxfId="15" priority="30" operator="containsText" text="Diamond">
      <formula>NOT(ISERROR(SEARCH("Diamond",H92)))</formula>
    </cfRule>
    <cfRule type="containsText" dxfId="14" priority="31" operator="containsText" text="Sapphire">
      <formula>NOT(ISERROR(SEARCH("Sapphire",H92)))</formula>
    </cfRule>
    <cfRule type="containsText" dxfId="13" priority="32" operator="containsText" text="Platinum">
      <formula>NOT(ISERROR(SEARCH("Platinum",H92)))</formula>
    </cfRule>
    <cfRule type="containsText" dxfId="12" priority="33" operator="containsText" text="Gold">
      <formula>NOT(ISERROR(SEARCH("Gold",H92)))</formula>
    </cfRule>
    <cfRule type="containsText" dxfId="11" priority="34" operator="containsText" text="Silver">
      <formula>NOT(ISERROR(SEARCH("Silver",H92)))</formula>
    </cfRule>
    <cfRule type="containsText" dxfId="10" priority="35" operator="containsText" text="Bronze">
      <formula>NOT(ISERROR(SEARCH("Bronze",H92)))</formula>
    </cfRule>
    <cfRule type="containsText" dxfId="9" priority="36" operator="containsText" text="Iron">
      <formula>NOT(ISERROR(SEARCH("Iron",H92)))</formula>
    </cfRule>
  </conditionalFormatting>
  <conditionalFormatting sqref="H99:H104">
    <cfRule type="containsText" dxfId="8" priority="1" operator="containsText" text="Grandmaster">
      <formula>NOT(ISERROR(SEARCH("Grandmaster",H99)))</formula>
    </cfRule>
    <cfRule type="containsText" dxfId="7" priority="2" operator="containsText" text="Master">
      <formula>NOT(ISERROR(SEARCH("Master",H99)))</formula>
    </cfRule>
    <cfRule type="containsText" dxfId="6" priority="3" operator="containsText" text="Diamond">
      <formula>NOT(ISERROR(SEARCH("Diamond",H99)))</formula>
    </cfRule>
    <cfRule type="containsText" dxfId="5" priority="4" operator="containsText" text="Sapphire">
      <formula>NOT(ISERROR(SEARCH("Sapphire",H99)))</formula>
    </cfRule>
    <cfRule type="containsText" dxfId="4" priority="5" operator="containsText" text="Platinum">
      <formula>NOT(ISERROR(SEARCH("Platinum",H99)))</formula>
    </cfRule>
    <cfRule type="containsText" dxfId="3" priority="6" operator="containsText" text="Gold">
      <formula>NOT(ISERROR(SEARCH("Gold",H99)))</formula>
    </cfRule>
    <cfRule type="containsText" dxfId="2" priority="7" operator="containsText" text="Silver">
      <formula>NOT(ISERROR(SEARCH("Silver",H99)))</formula>
    </cfRule>
    <cfRule type="containsText" dxfId="1" priority="8" operator="containsText" text="Bronze">
      <formula>NOT(ISERROR(SEARCH("Bronze",H99)))</formula>
    </cfRule>
    <cfRule type="containsText" dxfId="0" priority="9" operator="containsText" text="Iron">
      <formula>NOT(ISERROR(SEARCH("Iron",H99)))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Roberts</dc:creator>
  <cp:lastModifiedBy>Tomas Sancio</cp:lastModifiedBy>
  <dcterms:created xsi:type="dcterms:W3CDTF">2020-11-21T23:14:36Z</dcterms:created>
  <dcterms:modified xsi:type="dcterms:W3CDTF">2026-04-17T00:04:03Z</dcterms:modified>
</cp:coreProperties>
</file>